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13_ncr:1_{B8B6D515-01E5-2241-A17E-670EF4884A1D}" xr6:coauthVersionLast="47" xr6:coauthVersionMax="47" xr10:uidLastSave="{00000000-0000-0000-0000-000000000000}"/>
  <bookViews>
    <workbookView xWindow="21150" yWindow="-14535" windowWidth="17775" windowHeight="13095" xr2:uid="{AC48B639-44B1-4F76-AE03-4AD0B52BCA71}"/>
  </bookViews>
  <sheets>
    <sheet name="City" sheetId="3" r:id="rId1"/>
    <sheet name="Aldgate &amp; Whitechapel" sheetId="5" r:id="rId2"/>
    <sheet name="Old Street &amp; Shoreditch " sheetId="7" r:id="rId3"/>
    <sheet name="Clerkenwell &amp; Farringdon" sheetId="4" r:id="rId4"/>
    <sheet name="Midtown" sheetId="9" r:id="rId5"/>
    <sheet name="Fitzrovia &amp; Marylebone" sheetId="10" r:id="rId6"/>
    <sheet name="Soho &amp; Covent Garden" sheetId="8" r:id="rId7"/>
    <sheet name="Mayfair   St James" sheetId="15" r:id="rId8"/>
    <sheet name="London Bridge   South Bank" sheetId="12" r:id="rId9"/>
    <sheet name="Kings Cross &amp; Angel" sheetId="6" r:id="rId10"/>
    <sheet name="Victoria &amp; Knightsbridge" sheetId="11" r:id="rId11"/>
    <sheet name="Canary Wharf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5" l="1"/>
  <c r="G7" i="15"/>
  <c r="G34" i="3"/>
  <c r="G12" i="12"/>
  <c r="G74" i="3"/>
  <c r="G2" i="15"/>
  <c r="G58" i="3"/>
  <c r="G57" i="3"/>
  <c r="G62" i="3"/>
  <c r="G63" i="3"/>
  <c r="G40" i="7"/>
  <c r="G18" i="10"/>
  <c r="G21" i="3" l="1"/>
  <c r="G3" i="10" l="1"/>
  <c r="G25" i="10"/>
  <c r="G15" i="3" l="1"/>
  <c r="G20" i="3"/>
  <c r="G78" i="3"/>
  <c r="G77" i="3"/>
  <c r="G11" i="3"/>
  <c r="G9" i="3"/>
  <c r="G31" i="3"/>
  <c r="G17" i="8"/>
  <c r="G16" i="8"/>
  <c r="G15" i="8"/>
  <c r="G4" i="4"/>
  <c r="G55" i="3"/>
  <c r="G44" i="7"/>
  <c r="G19" i="7" l="1"/>
  <c r="G24" i="10" l="1"/>
  <c r="G20" i="8"/>
  <c r="G27" i="3"/>
  <c r="G13" i="8" l="1"/>
  <c r="G11" i="10"/>
  <c r="G12" i="10"/>
  <c r="G13" i="10"/>
  <c r="G14" i="10"/>
  <c r="G10" i="8"/>
  <c r="G11" i="8"/>
  <c r="G9" i="8"/>
  <c r="G14" i="7" l="1"/>
  <c r="G15" i="7"/>
  <c r="G16" i="7"/>
  <c r="G17" i="7"/>
  <c r="G7" i="5"/>
  <c r="G24" i="3" l="1"/>
  <c r="G5" i="12"/>
  <c r="G17" i="3"/>
  <c r="G11" i="15" l="1"/>
  <c r="G3" i="12"/>
  <c r="G8" i="7" l="1"/>
  <c r="G50" i="3" l="1"/>
  <c r="G49" i="3"/>
  <c r="G48" i="3"/>
  <c r="G47" i="3"/>
  <c r="G46" i="3"/>
  <c r="G8" i="9"/>
  <c r="G7" i="9"/>
  <c r="G6" i="9"/>
  <c r="G5" i="9"/>
  <c r="G4" i="9"/>
  <c r="G3" i="9"/>
  <c r="G2" i="9"/>
  <c r="G11" i="4"/>
  <c r="G8" i="8"/>
  <c r="G22" i="3" l="1"/>
  <c r="G23" i="15"/>
  <c r="G7" i="8"/>
  <c r="G22" i="4"/>
  <c r="G94" i="3"/>
  <c r="G93" i="3"/>
  <c r="G86" i="3"/>
  <c r="G88" i="3"/>
  <c r="G89" i="3"/>
  <c r="G90" i="3"/>
  <c r="G91" i="3"/>
  <c r="G92" i="3"/>
  <c r="G87" i="3"/>
  <c r="G5" i="4"/>
  <c r="G6" i="4"/>
  <c r="G39" i="7"/>
  <c r="G2" i="8" l="1"/>
  <c r="G3" i="8"/>
  <c r="G26" i="3"/>
  <c r="G8" i="3"/>
  <c r="G13" i="4"/>
  <c r="G10" i="3"/>
  <c r="G33" i="3" l="1"/>
  <c r="G19" i="3"/>
  <c r="G12" i="15"/>
  <c r="G4" i="15"/>
  <c r="G32" i="3"/>
  <c r="G10" i="4"/>
  <c r="G22" i="7"/>
  <c r="G31" i="7"/>
  <c r="G43" i="7"/>
  <c r="G4" i="5"/>
  <c r="G5" i="5"/>
  <c r="G21" i="4" l="1"/>
  <c r="G20" i="4"/>
  <c r="G28" i="3"/>
  <c r="G18" i="9" l="1"/>
  <c r="G14" i="8" l="1"/>
  <c r="G10" i="7"/>
  <c r="G11" i="7"/>
  <c r="G12" i="7"/>
  <c r="G13" i="7"/>
  <c r="G39" i="3"/>
  <c r="G40" i="3"/>
  <c r="G52" i="3"/>
  <c r="G53" i="3"/>
  <c r="G51" i="3"/>
  <c r="G3" i="5"/>
  <c r="G29" i="3"/>
  <c r="G23" i="7"/>
  <c r="G21" i="7"/>
  <c r="G20" i="7"/>
  <c r="G2" i="10"/>
  <c r="G37" i="7"/>
  <c r="G9" i="9"/>
  <c r="G6" i="3"/>
  <c r="G21" i="10"/>
  <c r="G22" i="10"/>
  <c r="G23" i="10"/>
  <c r="G59" i="3"/>
  <c r="G6" i="5"/>
  <c r="G7" i="3" l="1"/>
  <c r="G16" i="10" l="1"/>
  <c r="G12" i="4" l="1"/>
  <c r="G19" i="10"/>
  <c r="G41" i="3" l="1"/>
  <c r="G16" i="3"/>
  <c r="G18" i="3"/>
  <c r="G82" i="3"/>
  <c r="G84" i="3"/>
  <c r="G30" i="3"/>
  <c r="G4" i="10"/>
  <c r="G5" i="10"/>
  <c r="G6" i="10"/>
  <c r="G7" i="10"/>
  <c r="G8" i="10"/>
  <c r="G8" i="5" l="1"/>
  <c r="G80" i="3"/>
  <c r="G4" i="12" l="1"/>
  <c r="G2" i="6"/>
  <c r="G15" i="4"/>
  <c r="G16" i="4"/>
  <c r="G17" i="4"/>
  <c r="G18" i="4"/>
  <c r="G19" i="4"/>
  <c r="G22" i="15"/>
  <c r="G13" i="15"/>
  <c r="G14" i="15"/>
  <c r="G15" i="15"/>
  <c r="G16" i="15"/>
  <c r="G17" i="15"/>
  <c r="G18" i="15"/>
  <c r="G19" i="15"/>
  <c r="G20" i="15"/>
  <c r="G21" i="15"/>
  <c r="G5" i="7"/>
  <c r="G73" i="3"/>
  <c r="G25" i="3"/>
  <c r="G69" i="3"/>
  <c r="G11" i="12"/>
  <c r="G5" i="6"/>
  <c r="G4" i="6"/>
  <c r="G3" i="6"/>
  <c r="G6" i="6"/>
  <c r="G7" i="4" l="1"/>
  <c r="G8" i="4"/>
  <c r="G60" i="3"/>
  <c r="G9" i="10"/>
  <c r="G10" i="10"/>
  <c r="G13" i="9"/>
  <c r="G12" i="9"/>
  <c r="G56" i="3"/>
  <c r="G37" i="3"/>
  <c r="G36" i="3"/>
  <c r="G35" i="3"/>
  <c r="G3" i="7" l="1"/>
  <c r="G4" i="7"/>
  <c r="G18" i="8" l="1"/>
  <c r="G19" i="8"/>
  <c r="G6" i="15"/>
  <c r="G4" i="8"/>
  <c r="G24" i="7"/>
  <c r="G38" i="3"/>
  <c r="G20" i="10"/>
  <c r="G17" i="10"/>
  <c r="G12" i="8"/>
  <c r="G9" i="15"/>
  <c r="G10" i="12" l="1"/>
  <c r="G2" i="12" l="1"/>
  <c r="G67" i="3"/>
  <c r="G64" i="3"/>
  <c r="G65" i="3"/>
  <c r="G66" i="3"/>
  <c r="G5" i="3"/>
  <c r="G46" i="7"/>
  <c r="G45" i="7"/>
  <c r="G30" i="7"/>
  <c r="G5" i="15" l="1"/>
  <c r="G15" i="9"/>
  <c r="G14" i="9"/>
  <c r="G6" i="8"/>
  <c r="G10" i="15" l="1"/>
  <c r="G5" i="8"/>
  <c r="G9" i="4"/>
  <c r="G18" i="7"/>
  <c r="G36" i="7"/>
  <c r="G68" i="3"/>
  <c r="G45" i="3"/>
  <c r="G81" i="3"/>
  <c r="G83" i="3"/>
  <c r="G11" i="9"/>
  <c r="G79" i="3"/>
  <c r="G76" i="3"/>
  <c r="G75" i="3"/>
  <c r="G29" i="7"/>
  <c r="G28" i="7"/>
  <c r="G27" i="7"/>
  <c r="G26" i="7"/>
  <c r="G25" i="7"/>
  <c r="G72" i="3"/>
  <c r="G71" i="3"/>
  <c r="G15" i="10" l="1"/>
  <c r="G14" i="4"/>
  <c r="G12" i="3" l="1"/>
  <c r="G13" i="3"/>
  <c r="G9" i="7"/>
  <c r="G33" i="7"/>
  <c r="G32" i="7"/>
  <c r="G2" i="7"/>
  <c r="G7" i="7"/>
  <c r="G61" i="3" l="1"/>
  <c r="G15" i="6" l="1"/>
  <c r="G16" i="6"/>
  <c r="G17" i="6"/>
  <c r="G18" i="6"/>
  <c r="G8" i="6"/>
  <c r="G7" i="6"/>
  <c r="G20" i="9"/>
  <c r="G23" i="3"/>
  <c r="G38" i="7" l="1"/>
  <c r="G42" i="3" l="1"/>
  <c r="G14" i="3"/>
  <c r="G44" i="3"/>
  <c r="G43" i="3"/>
  <c r="G42" i="7"/>
  <c r="G2" i="5" l="1"/>
  <c r="G34" i="7"/>
  <c r="G35" i="7"/>
  <c r="G19" i="9" l="1"/>
  <c r="G41" i="7" l="1"/>
  <c r="G10" i="9" l="1"/>
  <c r="G16" i="9"/>
  <c r="G17" i="9"/>
  <c r="G70" i="3"/>
  <c r="G6" i="7"/>
  <c r="G85" i="3"/>
  <c r="G3" i="15" l="1"/>
  <c r="G6" i="12" l="1"/>
  <c r="G7" i="12"/>
  <c r="G8" i="12"/>
  <c r="G9" i="12"/>
  <c r="G14" i="6"/>
  <c r="G13" i="6"/>
  <c r="G12" i="6"/>
  <c r="G11" i="6"/>
  <c r="G10" i="6"/>
  <c r="G9" i="6"/>
  <c r="G3" i="4"/>
  <c r="G2" i="4"/>
  <c r="G54" i="3"/>
</calcChain>
</file>

<file path=xl/sharedStrings.xml><?xml version="1.0" encoding="utf-8"?>
<sst xmlns="http://schemas.openxmlformats.org/spreadsheetml/2006/main" count="1474" uniqueCount="260">
  <si>
    <t>City</t>
  </si>
  <si>
    <t>Floor</t>
  </si>
  <si>
    <t>Current Spec</t>
  </si>
  <si>
    <t>Size sq.ft</t>
  </si>
  <si>
    <t>Minimum Term</t>
  </si>
  <si>
    <t>Monthly Rate</t>
  </si>
  <si>
    <t>Price p/sq.ft</t>
  </si>
  <si>
    <t>Brochure</t>
  </si>
  <si>
    <t>6th</t>
  </si>
  <si>
    <t>Fitted</t>
  </si>
  <si>
    <t>3 years</t>
  </si>
  <si>
    <t>CLICK HERE</t>
  </si>
  <si>
    <t>1 Carey Lane</t>
  </si>
  <si>
    <t>1st</t>
  </si>
  <si>
    <t>3 Years</t>
  </si>
  <si>
    <t>5th (Private Terrace)</t>
  </si>
  <si>
    <t>CAT A</t>
  </si>
  <si>
    <t>5 Years</t>
  </si>
  <si>
    <t>9th</t>
  </si>
  <si>
    <t>4th</t>
  </si>
  <si>
    <t>2nd</t>
  </si>
  <si>
    <t>LANDLORD BROCHURE</t>
  </si>
  <si>
    <t>8 Bishopsgate</t>
  </si>
  <si>
    <t>3rd</t>
  </si>
  <si>
    <t>Ground</t>
  </si>
  <si>
    <r>
      <t xml:space="preserve">9a Devonshire Square </t>
    </r>
    <r>
      <rPr>
        <b/>
        <sz val="11"/>
        <rFont val="Outfit Thin"/>
      </rPr>
      <t>(Short Form All Inclusive Lease)</t>
    </r>
  </si>
  <si>
    <t>2 Years</t>
  </si>
  <si>
    <t>Midtown</t>
  </si>
  <si>
    <t>Current spec</t>
  </si>
  <si>
    <t xml:space="preserve">CAT A </t>
  </si>
  <si>
    <t>100 Lower Thames Street</t>
  </si>
  <si>
    <t xml:space="preserve">Clerkenwell &amp; Farringdon </t>
  </si>
  <si>
    <t>4th &amp; 5th (Private Terrace)</t>
  </si>
  <si>
    <t xml:space="preserve">Old Steet &amp; Shoreditch </t>
  </si>
  <si>
    <t xml:space="preserve">3rd </t>
  </si>
  <si>
    <t>5th</t>
  </si>
  <si>
    <t>Fitzrovia &amp; Marylebone</t>
  </si>
  <si>
    <t>TBC</t>
  </si>
  <si>
    <t>FLOOR PLAN</t>
  </si>
  <si>
    <t xml:space="preserve">Fitted </t>
  </si>
  <si>
    <t xml:space="preserve">1st </t>
  </si>
  <si>
    <t>3rd (private terrace)</t>
  </si>
  <si>
    <t>7th</t>
  </si>
  <si>
    <t>12 months</t>
  </si>
  <si>
    <t>Landlord Brochure</t>
  </si>
  <si>
    <t>8th</t>
  </si>
  <si>
    <t>4th (Private terrace)</t>
  </si>
  <si>
    <t>10 East Road</t>
  </si>
  <si>
    <t>10th</t>
  </si>
  <si>
    <t>Regents Wharf (Thorley Works)</t>
  </si>
  <si>
    <t>Regents Wharf (The Canal Building)</t>
  </si>
  <si>
    <t xml:space="preserve">2nd </t>
  </si>
  <si>
    <t>33 Gracechurch Street</t>
  </si>
  <si>
    <t>64 North Row</t>
  </si>
  <si>
    <t>Please see sub-market avaiability by clicking the tabs at the bottom of the page</t>
  </si>
  <si>
    <t>36 Leadenhall Street</t>
  </si>
  <si>
    <t>15-18 Austin Friars</t>
  </si>
  <si>
    <t>5th (Terrace)</t>
  </si>
  <si>
    <t>155 Fenchurch Street</t>
  </si>
  <si>
    <t>140 Leadenhall St</t>
  </si>
  <si>
    <t>Cannon Green</t>
  </si>
  <si>
    <t>Part 2nd</t>
  </si>
  <si>
    <t>10 Noble Street - Aldercastle</t>
  </si>
  <si>
    <t>Ground (west)</t>
  </si>
  <si>
    <t>Folgate Building</t>
  </si>
  <si>
    <t>47th</t>
  </si>
  <si>
    <t>21st</t>
  </si>
  <si>
    <t>Till June 2029</t>
  </si>
  <si>
    <t>Royal Exchange</t>
  </si>
  <si>
    <t>1st (Private Terrace)</t>
  </si>
  <si>
    <t>Broadgate Tower</t>
  </si>
  <si>
    <t>25th</t>
  </si>
  <si>
    <t>19th (can split to create 4k or 8k sq ft)</t>
  </si>
  <si>
    <t>17th (can split to create 4k or 8k sq ft)</t>
  </si>
  <si>
    <t>Aldgate Tower</t>
  </si>
  <si>
    <t>Part 7th</t>
  </si>
  <si>
    <t>200 Aldersgate</t>
  </si>
  <si>
    <t>6th (Private Terraces)</t>
  </si>
  <si>
    <t>The Gilbert</t>
  </si>
  <si>
    <t>75 King William Street</t>
  </si>
  <si>
    <t xml:space="preserve">Relay Building </t>
  </si>
  <si>
    <t>HYLO</t>
  </si>
  <si>
    <t>Senator House - 85 Queen Victoria Street</t>
  </si>
  <si>
    <t>A</t>
  </si>
  <si>
    <t>Aldgate / Whitechapel</t>
  </si>
  <si>
    <t>Size</t>
  </si>
  <si>
    <t>Term</t>
  </si>
  <si>
    <t>Monthly rate</t>
  </si>
  <si>
    <t>Price per sq ft</t>
  </si>
  <si>
    <t>The Rowe</t>
  </si>
  <si>
    <t>Verse - 18 Brunswick</t>
  </si>
  <si>
    <t>6 - 8 Luke Street</t>
  </si>
  <si>
    <t>85 Great Eastern Street</t>
  </si>
  <si>
    <t>Cloisters - 196 Old Street</t>
  </si>
  <si>
    <t>Stylus - 116 Old Street</t>
  </si>
  <si>
    <t>The Harrison (134 Curtain Road)</t>
  </si>
  <si>
    <r>
      <t xml:space="preserve">Olivers Yard </t>
    </r>
    <r>
      <rPr>
        <b/>
        <sz val="11"/>
        <rFont val="Outfit Thin"/>
      </rPr>
      <t>(Short Form Lease)</t>
    </r>
  </si>
  <si>
    <t>2nd (Unit 1)</t>
  </si>
  <si>
    <t>2nd (Unit 2)</t>
  </si>
  <si>
    <r>
      <t xml:space="preserve">Chapter House </t>
    </r>
    <r>
      <rPr>
        <b/>
        <sz val="11"/>
        <rFont val="Outfit Thin"/>
      </rPr>
      <t>(Short Form Lease)</t>
    </r>
  </si>
  <si>
    <r>
      <t xml:space="preserve">Chapter House </t>
    </r>
    <r>
      <rPr>
        <b/>
        <sz val="11"/>
        <rFont val="Outfit Thin"/>
      </rPr>
      <t>(2 large terraces)</t>
    </r>
  </si>
  <si>
    <t>Ground &amp; LG</t>
  </si>
  <si>
    <r>
      <t xml:space="preserve">Tea Building </t>
    </r>
    <r>
      <rPr>
        <b/>
        <sz val="11"/>
        <rFont val="Outfit Thin"/>
      </rPr>
      <t>(Short Form Lease)</t>
    </r>
  </si>
  <si>
    <t>Rocket Campus - 145 City Road</t>
  </si>
  <si>
    <r>
      <t xml:space="preserve">Featherstone Building </t>
    </r>
    <r>
      <rPr>
        <b/>
        <sz val="11"/>
        <rFont val="Outfit Thin"/>
      </rPr>
      <t>(Short Form Lease)</t>
    </r>
  </si>
  <si>
    <t>The Bower</t>
  </si>
  <si>
    <t>Wenlock Works</t>
  </si>
  <si>
    <t>Ground &amp; LG (self contained unit)</t>
  </si>
  <si>
    <t>Spectrum (160 Old Street)</t>
  </si>
  <si>
    <r>
      <t xml:space="preserve">55 Goswell Road </t>
    </r>
    <r>
      <rPr>
        <b/>
        <sz val="11"/>
        <rFont val="Outfit Thin"/>
      </rPr>
      <t>(Short Form All Inclusive Lease)</t>
    </r>
  </si>
  <si>
    <t>3rd (South)</t>
  </si>
  <si>
    <t>2nd (South)</t>
  </si>
  <si>
    <t>Parchment House</t>
  </si>
  <si>
    <t>2nd &amp; 3rd (Duplex)</t>
  </si>
  <si>
    <t>3rd Floor - Floor Plan</t>
  </si>
  <si>
    <t>Floor Plan</t>
  </si>
  <si>
    <t>Typeworks</t>
  </si>
  <si>
    <t>3 Years (2 year available)</t>
  </si>
  <si>
    <t>55 New Oxford Street</t>
  </si>
  <si>
    <t>167 Fleet Street</t>
  </si>
  <si>
    <t>The Kodak (11 Keeley St)</t>
  </si>
  <si>
    <t>33 Kingsway</t>
  </si>
  <si>
    <t>Fitted (2nd hand)</t>
  </si>
  <si>
    <t>98 Theobalds Road</t>
  </si>
  <si>
    <t>5 Wigmore Street</t>
  </si>
  <si>
    <t>8th (Private Terrace)</t>
  </si>
  <si>
    <t>Soho / Covent Garden</t>
  </si>
  <si>
    <t>41 Shelton Street</t>
  </si>
  <si>
    <t>123 Pall Mall</t>
  </si>
  <si>
    <t>Mayfair / St James</t>
  </si>
  <si>
    <t>31 Dover Street</t>
  </si>
  <si>
    <t>32 Dover Street</t>
  </si>
  <si>
    <t>London Bridge / Southbank</t>
  </si>
  <si>
    <t>Category</t>
  </si>
  <si>
    <t>49 Southwark Bridge Road</t>
  </si>
  <si>
    <t>The Shard</t>
  </si>
  <si>
    <t>160 Blackfriars Yard</t>
  </si>
  <si>
    <t>160 Blackfriars Yard (splitable)</t>
  </si>
  <si>
    <t>Angel &amp; Kings Cross</t>
  </si>
  <si>
    <t>123 Pentonville Road</t>
  </si>
  <si>
    <t>5th &amp; 4th (one unit)</t>
  </si>
  <si>
    <t>Regents Wharf (The Mill)</t>
  </si>
  <si>
    <t>Regents Wharf (The Packing House)</t>
  </si>
  <si>
    <t>Victoria &amp; Knightsbridge</t>
  </si>
  <si>
    <t>Canary Wharf</t>
  </si>
  <si>
    <t>3 London Bridge Street (News Building)</t>
  </si>
  <si>
    <t>4th (Private Terrace)</t>
  </si>
  <si>
    <t>345 Oxford Street</t>
  </si>
  <si>
    <t>265 Tottenham Court Road</t>
  </si>
  <si>
    <t>23 Hewett Street</t>
  </si>
  <si>
    <t>80 Great Eastern Street</t>
  </si>
  <si>
    <t>25 Great Pulteney Street</t>
  </si>
  <si>
    <r>
      <t xml:space="preserve">23 Hewett Street </t>
    </r>
    <r>
      <rPr>
        <b/>
        <sz val="11"/>
        <rFont val="Outfit Thin"/>
      </rPr>
      <t>(Self Contained)</t>
    </r>
  </si>
  <si>
    <t>25 Dering Street</t>
  </si>
  <si>
    <t>6 Agar Street</t>
  </si>
  <si>
    <t>5th (2 private terraces)</t>
  </si>
  <si>
    <t>125 Wood Street</t>
  </si>
  <si>
    <t>78 New Oxford Street</t>
  </si>
  <si>
    <t>138 Cheapside</t>
  </si>
  <si>
    <t>Fitted (PC Feb)</t>
  </si>
  <si>
    <t>24th</t>
  </si>
  <si>
    <t>15 Suffolk Street</t>
  </si>
  <si>
    <t>LG</t>
  </si>
  <si>
    <t>Landlord brochure</t>
  </si>
  <si>
    <t>80 Clerkenwell Road</t>
  </si>
  <si>
    <t>109-111 Farringdon Road</t>
  </si>
  <si>
    <t>Amplified (12-14 Leeke Street)</t>
  </si>
  <si>
    <t xml:space="preserve">Self Contained </t>
  </si>
  <si>
    <t>14th</t>
  </si>
  <si>
    <t>Till Apr 2028</t>
  </si>
  <si>
    <t>Fitted (PC Q1)</t>
  </si>
  <si>
    <t>1 Bartholomew Lane</t>
  </si>
  <si>
    <t>The Gilbert - Finsbury Garden Suite</t>
  </si>
  <si>
    <r>
      <t xml:space="preserve">5 Norwich Street </t>
    </r>
    <r>
      <rPr>
        <b/>
        <sz val="11"/>
        <rFont val="Outfit Thin"/>
      </rPr>
      <t>(Short Form Lease)</t>
    </r>
  </si>
  <si>
    <r>
      <t xml:space="preserve">95 Aldwych </t>
    </r>
    <r>
      <rPr>
        <b/>
        <sz val="11"/>
        <rFont val="Outfit Thin"/>
      </rPr>
      <t>(Short Form Lease)</t>
    </r>
  </si>
  <si>
    <r>
      <t xml:space="preserve">71 Kingsway </t>
    </r>
    <r>
      <rPr>
        <b/>
        <sz val="11"/>
        <rFont val="Outfit Thin"/>
      </rPr>
      <t>(Short Form Lease)</t>
    </r>
  </si>
  <si>
    <t>Ground (South)</t>
  </si>
  <si>
    <t>Ground + LG (Self contained)</t>
  </si>
  <si>
    <t>7th (Private Terrace)</t>
  </si>
  <si>
    <t xml:space="preserve">Noahs Yard </t>
  </si>
  <si>
    <t>2nd &amp; 3rd (One unit)</t>
  </si>
  <si>
    <t>Southbank Central - ALTO</t>
  </si>
  <si>
    <t>Fitted (PC Q1 2026)</t>
  </si>
  <si>
    <t>10 Exchange Square</t>
  </si>
  <si>
    <r>
      <t xml:space="preserve">24 Chiswell Street </t>
    </r>
    <r>
      <rPr>
        <b/>
        <sz val="11"/>
        <color rgb="FF000000"/>
        <rFont val="Outfit Thin"/>
      </rPr>
      <t>(Short Form Lease)</t>
    </r>
  </si>
  <si>
    <r>
      <t xml:space="preserve">Straus Haus - 50 Great Sutton Street </t>
    </r>
    <r>
      <rPr>
        <b/>
        <sz val="11"/>
        <rFont val="Outfit Thin"/>
      </rPr>
      <t>(Short Form All Inclusive Lease)</t>
    </r>
  </si>
  <si>
    <t>100 Cannon Street</t>
  </si>
  <si>
    <t xml:space="preserve">11 Ironmonger Lane </t>
  </si>
  <si>
    <t xml:space="preserve"> </t>
  </si>
  <si>
    <t>36-38 Hatton Garden</t>
  </si>
  <si>
    <t>103 Wigmore Street</t>
  </si>
  <si>
    <t>Fitted (PC Jan)</t>
  </si>
  <si>
    <t>120 Aldersgate</t>
  </si>
  <si>
    <t>107 Cannon Street</t>
  </si>
  <si>
    <r>
      <t xml:space="preserve">1 Stephen Street </t>
    </r>
    <r>
      <rPr>
        <b/>
        <sz val="11"/>
        <rFont val="Outfit Thin"/>
      </rPr>
      <t>(Short Form Lease)</t>
    </r>
  </si>
  <si>
    <r>
      <t xml:space="preserve">1 Stephen Street (Large Private Terrace) </t>
    </r>
    <r>
      <rPr>
        <b/>
        <sz val="11"/>
        <rFont val="Outfit Thin"/>
      </rPr>
      <t>(Short Form Lease)</t>
    </r>
  </si>
  <si>
    <t>Till Aug 2028</t>
  </si>
  <si>
    <t>1st (South)</t>
  </si>
  <si>
    <t>5th (North)</t>
  </si>
  <si>
    <t>27th &amp; 28th</t>
  </si>
  <si>
    <t>Artesian</t>
  </si>
  <si>
    <t>36-44 Tabernacle Street</t>
  </si>
  <si>
    <t>26 Finsbury Square</t>
  </si>
  <si>
    <t>Eastcheap Court - 11 Philpot Lane</t>
  </si>
  <si>
    <t>10 Chiswell Street</t>
  </si>
  <si>
    <t>7 Old Park Lane (PC August 2026)</t>
  </si>
  <si>
    <t>Fitted (Aug)</t>
  </si>
  <si>
    <t>12th (2 Private Terraces)</t>
  </si>
  <si>
    <t>7th &amp; 8th (internal stairs - private terrace)</t>
  </si>
  <si>
    <t>15th</t>
  </si>
  <si>
    <t>20 Kirby Street</t>
  </si>
  <si>
    <t>20 Birchin Lane (Birchin Court)</t>
  </si>
  <si>
    <t>24 Grosvenor Street</t>
  </si>
  <si>
    <t>Till Dec 2029</t>
  </si>
  <si>
    <t>10 Dominion Street</t>
  </si>
  <si>
    <t>2 London Wall Place</t>
  </si>
  <si>
    <t>4 Moorgate</t>
  </si>
  <si>
    <t>19th</t>
  </si>
  <si>
    <t>111 Wardour Street</t>
  </si>
  <si>
    <t>2nd (East)</t>
  </si>
  <si>
    <t>3rd (Front)</t>
  </si>
  <si>
    <t>3rd (Rear)</t>
  </si>
  <si>
    <t>3rd (Entire)</t>
  </si>
  <si>
    <t>2 More London</t>
  </si>
  <si>
    <t>Dials - 20 Finsbury Street</t>
  </si>
  <si>
    <t>133 Houndsditch</t>
  </si>
  <si>
    <t>9 Devonshire Square</t>
  </si>
  <si>
    <t>Nexus Place -  25 Farringdon Place</t>
  </si>
  <si>
    <t>Depot - 45 Fouberts Place</t>
  </si>
  <si>
    <t>TBC London - 224 Tower Bridge Rd</t>
  </si>
  <si>
    <t>11-21 Paul Street</t>
  </si>
  <si>
    <t>Till June 2030</t>
  </si>
  <si>
    <t>7 Savile Row</t>
  </si>
  <si>
    <t>Fitted (PC July)</t>
  </si>
  <si>
    <t>120 Cannon Street</t>
  </si>
  <si>
    <t>Southbank Central - VIVO</t>
  </si>
  <si>
    <t>Exchequer Court - 33 St Mary Axe</t>
  </si>
  <si>
    <t>CAT A (Fitted Q3)</t>
  </si>
  <si>
    <t>5th (South)</t>
  </si>
  <si>
    <t>G &amp; LG</t>
  </si>
  <si>
    <t>55 Drury Lane</t>
  </si>
  <si>
    <t xml:space="preserve">16 Mortimer street </t>
  </si>
  <si>
    <t>100 New Oxford Street</t>
  </si>
  <si>
    <t xml:space="preserve">77 Shaftesbury Avenue </t>
  </si>
  <si>
    <t>77 Gracechurch Street</t>
  </si>
  <si>
    <t>CATA</t>
  </si>
  <si>
    <t xml:space="preserve">  </t>
  </si>
  <si>
    <t>46th</t>
  </si>
  <si>
    <t>1 Wells Street</t>
  </si>
  <si>
    <t>Ground and 1st (Terrace)</t>
  </si>
  <si>
    <t>4 Manchester Street</t>
  </si>
  <si>
    <t>Discovery House - 28-42 Banner St</t>
  </si>
  <si>
    <r>
      <t xml:space="preserve">19-23 Fitzroy Street </t>
    </r>
    <r>
      <rPr>
        <b/>
        <sz val="11"/>
        <rFont val="Outfit Thin"/>
      </rPr>
      <t>(Short Form Lease)</t>
    </r>
  </si>
  <si>
    <t xml:space="preserve">Thames Court </t>
  </si>
  <si>
    <t>Bow Bells House - 1-11 Bread Street</t>
  </si>
  <si>
    <t>101 Moorgate</t>
  </si>
  <si>
    <t>Nash House - 13a St George St</t>
  </si>
  <si>
    <t>Till July 2030</t>
  </si>
  <si>
    <t>18 St Swithins Lane</t>
  </si>
  <si>
    <t xml:space="preserve">40 New Bond Street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</si>
</sst>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8" formatCode="&quot;£&quot;#,##0.00;[Red]\-&quot;£&quot;#,##0.00"/>
    <numFmt numFmtId="164" formatCode="&quot;£&quot;#,##0_);[Red]\(&quot;£&quot;#,##0\)"/>
  </numFmts>
  <fonts count="10">
    <font>
      <sz val="11"/>
      <color theme="1"/>
      <name val="Calibri"/>
      <family val="2"/>
      <scheme val="minor"/>
    </font>
    <font>
      <sz val="11"/>
      <name val="Outfit Thin"/>
    </font>
    <font>
      <sz val="11"/>
      <color rgb="FF000000"/>
      <name val="Outfit Thin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Outfit Thin"/>
    </font>
    <font>
      <b/>
      <sz val="11"/>
      <color theme="1"/>
      <name val="Outfit Thin"/>
    </font>
    <font>
      <b/>
      <sz val="16"/>
      <color theme="1"/>
      <name val="Calibri"/>
      <family val="2"/>
      <scheme val="minor"/>
    </font>
    <font>
      <b/>
      <sz val="11"/>
      <name val="Outfit Thin"/>
    </font>
    <font>
      <b/>
      <sz val="11"/>
      <color rgb="FF000000"/>
      <name val="Outfit Thin"/>
    </font>
  </fonts>
  <fills count="5">
    <fill>
      <patternFill patternType="none"/>
    </fill>
    <fill>
      <patternFill patternType="gray125"/>
    </fill>
    <fill>
      <patternFill patternType="solid">
        <fgColor rgb="FFF2F5F1"/>
        <bgColor indexed="64"/>
      </patternFill>
    </fill>
    <fill>
      <patternFill patternType="solid">
        <fgColor rgb="FFC8D0C7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6" fontId="1" fillId="2" borderId="0" xfId="0" applyNumberFormat="1" applyFont="1" applyFill="1" applyAlignment="1">
      <alignment horizontal="center" vertical="center"/>
    </xf>
    <xf numFmtId="6" fontId="1" fillId="2" borderId="0" xfId="0" applyNumberFormat="1" applyFont="1" applyFill="1" applyAlignment="1">
      <alignment horizontal="center"/>
    </xf>
    <xf numFmtId="6" fontId="3" fillId="2" borderId="0" xfId="1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6" fontId="2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/>
    </xf>
    <xf numFmtId="0" fontId="3" fillId="2" borderId="0" xfId="1" applyFill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7" fillId="0" borderId="0" xfId="0" applyFont="1"/>
    <xf numFmtId="8" fontId="1" fillId="2" borderId="0" xfId="0" applyNumberFormat="1" applyFont="1" applyFill="1" applyAlignment="1">
      <alignment horizontal="center"/>
    </xf>
    <xf numFmtId="8" fontId="1" fillId="2" borderId="0" xfId="0" applyNumberFormat="1" applyFont="1" applyFill="1" applyAlignment="1">
      <alignment horizontal="center" vertical="center"/>
    </xf>
    <xf numFmtId="8" fontId="2" fillId="2" borderId="0" xfId="0" applyNumberFormat="1" applyFont="1" applyFill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6" fontId="1" fillId="4" borderId="0" xfId="0" applyNumberFormat="1" applyFont="1" applyFill="1" applyAlignment="1">
      <alignment horizontal="center" vertical="center"/>
    </xf>
    <xf numFmtId="6" fontId="3" fillId="4" borderId="0" xfId="1" applyNumberFormat="1" applyFill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6" fontId="2" fillId="4" borderId="0" xfId="0" applyNumberFormat="1" applyFont="1" applyFill="1" applyAlignment="1">
      <alignment horizontal="center" vertical="center"/>
    </xf>
    <xf numFmtId="8" fontId="2" fillId="4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3" fillId="4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F5F1"/>
      <color rgb="FFC8D0C7"/>
      <color rgb="FFC9CEC8"/>
      <color rgb="FF004645"/>
      <color rgb="FFB6D3BD"/>
      <color rgb="FFFBF3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box.com/s/n0ev6mgzzjw8dds4kqif87piy0zz7ohj" TargetMode="External"/><Relationship Id="rId21" Type="http://schemas.openxmlformats.org/officeDocument/2006/relationships/hyperlink" Target="https://app.box.com/s/udd9vj2h01b0tzkhthdd8eoojslybjxe" TargetMode="External"/><Relationship Id="rId42" Type="http://schemas.openxmlformats.org/officeDocument/2006/relationships/hyperlink" Target="https://app.box.com/s/x3hb1ppnxolerbahkiu408aaacxxhor2" TargetMode="External"/><Relationship Id="rId47" Type="http://schemas.openxmlformats.org/officeDocument/2006/relationships/hyperlink" Target="https://app.box.com/s/x3hb1ppnxolerbahkiu408aaacxxhor2" TargetMode="External"/><Relationship Id="rId63" Type="http://schemas.openxmlformats.org/officeDocument/2006/relationships/hyperlink" Target="https://app.box.com/s/odnm0ughvaps6iiarvmubsbn8l2d9f7z" TargetMode="External"/><Relationship Id="rId68" Type="http://schemas.openxmlformats.org/officeDocument/2006/relationships/hyperlink" Target="https://app.box.com/s/62oyjxu34d4tw4fyjviuon6b3g5kas6a" TargetMode="External"/><Relationship Id="rId16" Type="http://schemas.openxmlformats.org/officeDocument/2006/relationships/hyperlink" Target="https://app.box.com/s/bvza6ssigijm1dwxnk22rnqcjwf6hpkm" TargetMode="External"/><Relationship Id="rId11" Type="http://schemas.openxmlformats.org/officeDocument/2006/relationships/hyperlink" Target="https://app.box.com/s/3xcp1ecx778fykv4tetes7mk64mxyigh" TargetMode="External"/><Relationship Id="rId32" Type="http://schemas.openxmlformats.org/officeDocument/2006/relationships/hyperlink" Target="https://app.box.com/s/ne9h5558ahqof8mvich3g9oqme0a82e5" TargetMode="External"/><Relationship Id="rId37" Type="http://schemas.openxmlformats.org/officeDocument/2006/relationships/hyperlink" Target="https://app.box.com/s/jbtked9xzxykqyo5qkirn9vteda39lej" TargetMode="External"/><Relationship Id="rId53" Type="http://schemas.openxmlformats.org/officeDocument/2006/relationships/hyperlink" Target="https://app.box.com/s/2a0fmlwptus9tefxiwntgnfkb4fehetn" TargetMode="External"/><Relationship Id="rId58" Type="http://schemas.openxmlformats.org/officeDocument/2006/relationships/hyperlink" Target="https://app.box.com/s/f6dct4zuyyczq2mnamubmil8wedrk5d5" TargetMode="External"/><Relationship Id="rId74" Type="http://schemas.openxmlformats.org/officeDocument/2006/relationships/hyperlink" Target="https://app.box.com/s/301d9k7j5aghkfn4doutchgmxnzn4kxd" TargetMode="External"/><Relationship Id="rId79" Type="http://schemas.openxmlformats.org/officeDocument/2006/relationships/hyperlink" Target="https://app.box.com/s/irzn61b3njason5rd67o9euh4c1baja8" TargetMode="External"/><Relationship Id="rId5" Type="http://schemas.openxmlformats.org/officeDocument/2006/relationships/hyperlink" Target="https://app.box.com/s/iwddo0j3v6huelm00fb587jpv6n2f7gg" TargetMode="External"/><Relationship Id="rId61" Type="http://schemas.openxmlformats.org/officeDocument/2006/relationships/hyperlink" Target="https://app.box.com/s/d15cxgl8vy4lb92go2yttml2rly7rvst" TargetMode="External"/><Relationship Id="rId82" Type="http://schemas.openxmlformats.org/officeDocument/2006/relationships/hyperlink" Target="https://app.box.com/s/4tv2zidp0vsui47e8cb78i9kay1ypkt4" TargetMode="External"/><Relationship Id="rId19" Type="http://schemas.openxmlformats.org/officeDocument/2006/relationships/hyperlink" Target="https://app.box.com/s/po2pmhwsetpgtpm6e3w3cfszvqr5egpj" TargetMode="External"/><Relationship Id="rId14" Type="http://schemas.openxmlformats.org/officeDocument/2006/relationships/hyperlink" Target="https://app.box.com/s/301d9k7j5aghkfn4doutchgmxnzn4kxd" TargetMode="External"/><Relationship Id="rId22" Type="http://schemas.openxmlformats.org/officeDocument/2006/relationships/hyperlink" Target="https://app.box.com/s/p1tnj7c5jjosxvinqotty7tuu7ow5ukq" TargetMode="External"/><Relationship Id="rId27" Type="http://schemas.openxmlformats.org/officeDocument/2006/relationships/hyperlink" Target="https://app.box.com/s/hklrn6svcmv1vxkjd038zx8ah9ybveck" TargetMode="External"/><Relationship Id="rId30" Type="http://schemas.openxmlformats.org/officeDocument/2006/relationships/hyperlink" Target="https://app.box.com/s/bvza6ssigijm1dwxnk22rnqcjwf6hpkm" TargetMode="External"/><Relationship Id="rId35" Type="http://schemas.openxmlformats.org/officeDocument/2006/relationships/hyperlink" Target="https://app.box.com/s/jbtked9xzxykqyo5qkirn9vteda39lej" TargetMode="External"/><Relationship Id="rId43" Type="http://schemas.openxmlformats.org/officeDocument/2006/relationships/hyperlink" Target="https://app.box.com/s/6nwvoioss38nbir1l9zvbk3tejn691ki" TargetMode="External"/><Relationship Id="rId48" Type="http://schemas.openxmlformats.org/officeDocument/2006/relationships/hyperlink" Target="https://app.box.com/s/x3hb1ppnxolerbahkiu408aaacxxhor2" TargetMode="External"/><Relationship Id="rId56" Type="http://schemas.openxmlformats.org/officeDocument/2006/relationships/hyperlink" Target="https://app.box.com/s/juxrvm7k6x89ubgpnrkrudwwyzonl0df" TargetMode="External"/><Relationship Id="rId64" Type="http://schemas.openxmlformats.org/officeDocument/2006/relationships/hyperlink" Target="https://app.box.com/s/odnm0ughvaps6iiarvmubsbn8l2d9f7z" TargetMode="External"/><Relationship Id="rId69" Type="http://schemas.openxmlformats.org/officeDocument/2006/relationships/hyperlink" Target="https://app.box.com/s/m7324eyevhqc9u8pvnztfo2v8m4bqbxb" TargetMode="External"/><Relationship Id="rId77" Type="http://schemas.openxmlformats.org/officeDocument/2006/relationships/hyperlink" Target="https://app.box.com/s/or6b5ncgfylmn00mg4z4ch378io7md8w" TargetMode="External"/><Relationship Id="rId8" Type="http://schemas.openxmlformats.org/officeDocument/2006/relationships/hyperlink" Target="https://app.box.com/s/tmrn43nv0c00gw13907scmr4fr7fev0w" TargetMode="External"/><Relationship Id="rId51" Type="http://schemas.openxmlformats.org/officeDocument/2006/relationships/hyperlink" Target="https://app.box.com/s/qay86vx0zqgugu1g7aiob8ffdtrti27u" TargetMode="External"/><Relationship Id="rId72" Type="http://schemas.openxmlformats.org/officeDocument/2006/relationships/hyperlink" Target="https://app.box.com/s/k1fvipypmgnwxov86yv7untaffvm0p9f" TargetMode="External"/><Relationship Id="rId80" Type="http://schemas.openxmlformats.org/officeDocument/2006/relationships/hyperlink" Target="https://app.box.com/s/zpz1j971spcxk2djpibkaethjiks3jq2" TargetMode="External"/><Relationship Id="rId3" Type="http://schemas.openxmlformats.org/officeDocument/2006/relationships/hyperlink" Target="https://app.box.com/s/nx1dco7jc4dkzuznmygx8w01il0hmdrz" TargetMode="External"/><Relationship Id="rId12" Type="http://schemas.openxmlformats.org/officeDocument/2006/relationships/hyperlink" Target="https://app.box.com/s/y6db2vsghib917ea406muxyisokyizrb" TargetMode="External"/><Relationship Id="rId17" Type="http://schemas.openxmlformats.org/officeDocument/2006/relationships/hyperlink" Target="https://app.box.com/s/lp812k7vc83zjtswbaezo5o3742zuj4h" TargetMode="External"/><Relationship Id="rId25" Type="http://schemas.openxmlformats.org/officeDocument/2006/relationships/hyperlink" Target="https://app.box.com/s/n0ev6mgzzjw8dds4kqif87piy0zz7ohj" TargetMode="External"/><Relationship Id="rId33" Type="http://schemas.openxmlformats.org/officeDocument/2006/relationships/hyperlink" Target="https://app.box.com/s/or6b5ncgfylmn00mg4z4ch378io7md8w" TargetMode="External"/><Relationship Id="rId38" Type="http://schemas.openxmlformats.org/officeDocument/2006/relationships/hyperlink" Target="https://app.box.com/s/capjtfw406d9zitn73ywohhvioti2aru" TargetMode="External"/><Relationship Id="rId46" Type="http://schemas.openxmlformats.org/officeDocument/2006/relationships/hyperlink" Target="https://app.box.com/s/ou0nyis80sandquvc69nx027de3iqyt7" TargetMode="External"/><Relationship Id="rId59" Type="http://schemas.openxmlformats.org/officeDocument/2006/relationships/hyperlink" Target="https://app.box.com/s/cktz4q797wgzo5dgoi1flvrcf2d70ae2" TargetMode="External"/><Relationship Id="rId67" Type="http://schemas.openxmlformats.org/officeDocument/2006/relationships/hyperlink" Target="https://app.box.com/s/capjtfw406d9zitn73ywohhvioti2aru" TargetMode="External"/><Relationship Id="rId20" Type="http://schemas.openxmlformats.org/officeDocument/2006/relationships/hyperlink" Target="https://app.box.com/s/po2pmhwsetpgtpm6e3w3cfszvqr5egpj" TargetMode="External"/><Relationship Id="rId41" Type="http://schemas.openxmlformats.org/officeDocument/2006/relationships/hyperlink" Target="https://app.box.com/s/qir2boouhynez6wwo0uzpk3mlpjeifn4" TargetMode="External"/><Relationship Id="rId54" Type="http://schemas.openxmlformats.org/officeDocument/2006/relationships/hyperlink" Target="https://app.box.com/s/l36l705snpo4g41km2whbqdaxs8q27jk" TargetMode="External"/><Relationship Id="rId62" Type="http://schemas.openxmlformats.org/officeDocument/2006/relationships/hyperlink" Target="https://app.box.com/s/odnm0ughvaps6iiarvmubsbn8l2d9f7z" TargetMode="External"/><Relationship Id="rId70" Type="http://schemas.openxmlformats.org/officeDocument/2006/relationships/hyperlink" Target="https://app.box.com/s/zv1n1irfzrczzbc6bhk2ii980vjici5i" TargetMode="External"/><Relationship Id="rId75" Type="http://schemas.openxmlformats.org/officeDocument/2006/relationships/hyperlink" Target="https://app.box.com/s/d28ecvbewk055i2acosb6pydj287allr" TargetMode="External"/><Relationship Id="rId83" Type="http://schemas.openxmlformats.org/officeDocument/2006/relationships/hyperlink" Target="https://app.box.com/s/1kkzz6iprfq8604daod7ylwpxps41km7" TargetMode="External"/><Relationship Id="rId1" Type="http://schemas.openxmlformats.org/officeDocument/2006/relationships/hyperlink" Target="https://app.box.com/s/zv1n1irfzrczzbc6bhk2ii980vjici5i" TargetMode="External"/><Relationship Id="rId6" Type="http://schemas.openxmlformats.org/officeDocument/2006/relationships/hyperlink" Target="https://app.box.com/s/iwddo0j3v6huelm00fb587jpv6n2f7gg" TargetMode="External"/><Relationship Id="rId15" Type="http://schemas.openxmlformats.org/officeDocument/2006/relationships/hyperlink" Target="https://app.box.com/s/bvza6ssigijm1dwxnk22rnqcjwf6hpkm" TargetMode="External"/><Relationship Id="rId23" Type="http://schemas.openxmlformats.org/officeDocument/2006/relationships/hyperlink" Target="https://app.box.com/s/txgry8qvrwcwvln7njqu59sngu4pj5ou" TargetMode="External"/><Relationship Id="rId28" Type="http://schemas.openxmlformats.org/officeDocument/2006/relationships/hyperlink" Target="https://app.box.com/s/e1kpiwq5gmdmfjrb8g94i0mwiteytw0y" TargetMode="External"/><Relationship Id="rId36" Type="http://schemas.openxmlformats.org/officeDocument/2006/relationships/hyperlink" Target="https://app.box.com/s/jbtked9xzxykqyo5qkirn9vteda39lej" TargetMode="External"/><Relationship Id="rId49" Type="http://schemas.openxmlformats.org/officeDocument/2006/relationships/hyperlink" Target="https://app.box.com/s/d28ecvbewk055i2acosb6pydj287allr" TargetMode="External"/><Relationship Id="rId57" Type="http://schemas.openxmlformats.org/officeDocument/2006/relationships/hyperlink" Target="https://app.box.com/s/untnxucliu7n2xqkzj5ggny0cjk4xmkn" TargetMode="External"/><Relationship Id="rId10" Type="http://schemas.openxmlformats.org/officeDocument/2006/relationships/hyperlink" Target="https://app.box.com/s/3xcp1ecx778fykv4tetes7mk64mxyigh" TargetMode="External"/><Relationship Id="rId31" Type="http://schemas.openxmlformats.org/officeDocument/2006/relationships/hyperlink" Target="https://app.box.com/s/nqeffin0uetf74th2q6wn0jl26vidmvo" TargetMode="External"/><Relationship Id="rId44" Type="http://schemas.openxmlformats.org/officeDocument/2006/relationships/hyperlink" Target="https://app.box.com/s/87aoa0keeccrp2wjejgw4x290m58wosw" TargetMode="External"/><Relationship Id="rId52" Type="http://schemas.openxmlformats.org/officeDocument/2006/relationships/hyperlink" Target="https://app.box.com/s/k1fvipypmgnwxov86yv7untaffvm0p9f" TargetMode="External"/><Relationship Id="rId60" Type="http://schemas.openxmlformats.org/officeDocument/2006/relationships/hyperlink" Target="https://app.box.com/s/5cbox5mdsxeqe1jb26dgj1agx2e7kbmi" TargetMode="External"/><Relationship Id="rId65" Type="http://schemas.openxmlformats.org/officeDocument/2006/relationships/hyperlink" Target="https://app.box.com/s/odnm0ughvaps6iiarvmubsbn8l2d9f7z" TargetMode="External"/><Relationship Id="rId73" Type="http://schemas.openxmlformats.org/officeDocument/2006/relationships/hyperlink" Target="https://app.box.com/s/301d9k7j5aghkfn4doutchgmxnzn4kxd" TargetMode="External"/><Relationship Id="rId78" Type="http://schemas.openxmlformats.org/officeDocument/2006/relationships/hyperlink" Target="https://app.box.com/s/te6jv8agrdeq8po0zso410d1esoayfti" TargetMode="External"/><Relationship Id="rId81" Type="http://schemas.openxmlformats.org/officeDocument/2006/relationships/hyperlink" Target="https://app.box.com/s/zpz1j971spcxk2djpibkaethjiks3jq2" TargetMode="External"/><Relationship Id="rId4" Type="http://schemas.openxmlformats.org/officeDocument/2006/relationships/hyperlink" Target="https://app.box.com/s/iwddo0j3v6huelm00fb587jpv6n2f7gg" TargetMode="External"/><Relationship Id="rId9" Type="http://schemas.openxmlformats.org/officeDocument/2006/relationships/hyperlink" Target="https://app.box.com/s/0huo7ltfgkbd49akrhkw2sev3fv30ha6" TargetMode="External"/><Relationship Id="rId13" Type="http://schemas.openxmlformats.org/officeDocument/2006/relationships/hyperlink" Target="https://app.box.com/s/y6db2vsghib917ea406muxyisokyizrb" TargetMode="External"/><Relationship Id="rId18" Type="http://schemas.openxmlformats.org/officeDocument/2006/relationships/hyperlink" Target="https://app.box.com/s/hklrn6svcmv1vxkjd038zx8ah9ybveck" TargetMode="External"/><Relationship Id="rId39" Type="http://schemas.openxmlformats.org/officeDocument/2006/relationships/hyperlink" Target="https://app.box.com/s/y3lvhefxulus87w3ee18qq256lg6hyog" TargetMode="External"/><Relationship Id="rId34" Type="http://schemas.openxmlformats.org/officeDocument/2006/relationships/hyperlink" Target="https://app.box.com/s/jbtked9xzxykqyo5qkirn9vteda39lej" TargetMode="External"/><Relationship Id="rId50" Type="http://schemas.openxmlformats.org/officeDocument/2006/relationships/hyperlink" Target="https://app.box.com/s/qsdqmls92q9d5whqacltj8idi25akta4" TargetMode="External"/><Relationship Id="rId55" Type="http://schemas.openxmlformats.org/officeDocument/2006/relationships/hyperlink" Target="https://app.box.com/s/juxrvm7k6x89ubgpnrkrudwwyzonl0df" TargetMode="External"/><Relationship Id="rId76" Type="http://schemas.openxmlformats.org/officeDocument/2006/relationships/hyperlink" Target="https://app.box.com/s/d28ecvbewk055i2acosb6pydj287allr" TargetMode="External"/><Relationship Id="rId7" Type="http://schemas.openxmlformats.org/officeDocument/2006/relationships/hyperlink" Target="https://app.box.com/s/6wy4ydvri86w7zlhlpz3gpzhxyetm8bm" TargetMode="External"/><Relationship Id="rId71" Type="http://schemas.openxmlformats.org/officeDocument/2006/relationships/hyperlink" Target="https://app.box.com/s/k1fvipypmgnwxov86yv7untaffvm0p9f" TargetMode="External"/><Relationship Id="rId2" Type="http://schemas.openxmlformats.org/officeDocument/2006/relationships/hyperlink" Target="https://app.box.com/s/5ln9uri46xhq586qdoskbc37rhrrftr7" TargetMode="External"/><Relationship Id="rId29" Type="http://schemas.openxmlformats.org/officeDocument/2006/relationships/hyperlink" Target="https://app.box.com/s/6kj1bdt8uf3un1qwqlebatbpami4ymk4" TargetMode="External"/><Relationship Id="rId24" Type="http://schemas.openxmlformats.org/officeDocument/2006/relationships/hyperlink" Target="https://app.box.com/s/n0ev6mgzzjw8dds4kqif87piy0zz7ohj" TargetMode="External"/><Relationship Id="rId40" Type="http://schemas.openxmlformats.org/officeDocument/2006/relationships/hyperlink" Target="https://app.box.com/s/y3lvhefxulus87w3ee18qq256lg6hyog" TargetMode="External"/><Relationship Id="rId45" Type="http://schemas.openxmlformats.org/officeDocument/2006/relationships/hyperlink" Target="https://app.box.com/s/87aoa0keeccrp2wjejgw4x290m58wosw" TargetMode="External"/><Relationship Id="rId66" Type="http://schemas.openxmlformats.org/officeDocument/2006/relationships/hyperlink" Target="https://app.box.com/s/s35bet9kdk4rhhv61doq6nf8uphgnu5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box.com/s/301d9k7j5aghkfn4doutchgmxnzn4kxd" TargetMode="External"/><Relationship Id="rId7" Type="http://schemas.openxmlformats.org/officeDocument/2006/relationships/hyperlink" Target="https://app.box.com/s/301d9k7j5aghkfn4doutchgmxnzn4kxd" TargetMode="External"/><Relationship Id="rId2" Type="http://schemas.openxmlformats.org/officeDocument/2006/relationships/hyperlink" Target="https://app.box.com/s/301d9k7j5aghkfn4doutchgmxnzn4kxd" TargetMode="External"/><Relationship Id="rId1" Type="http://schemas.openxmlformats.org/officeDocument/2006/relationships/hyperlink" Target="https://app.box.com/s/s8b74wrbp86kghr7qljon5ves9jitr5v" TargetMode="External"/><Relationship Id="rId6" Type="http://schemas.openxmlformats.org/officeDocument/2006/relationships/hyperlink" Target="https://app.box.com/s/hklrn6svcmv1vxkjd038zx8ah9ybveck" TargetMode="External"/><Relationship Id="rId5" Type="http://schemas.openxmlformats.org/officeDocument/2006/relationships/hyperlink" Target="https://app.box.com/s/hklrn6svcmv1vxkjd038zx8ah9ybveck" TargetMode="External"/><Relationship Id="rId4" Type="http://schemas.openxmlformats.org/officeDocument/2006/relationships/hyperlink" Target="https://app.box.com/s/5zqj4d0smnms94ar04o1uidu2nsxetp3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box.com/s/pq29i3t58htekbywlis0qywbjfva90hs" TargetMode="External"/><Relationship Id="rId18" Type="http://schemas.openxmlformats.org/officeDocument/2006/relationships/hyperlink" Target="https://app.box.com/s/da8xn8kprugn4ckzpx6u7p3bp590h116" TargetMode="External"/><Relationship Id="rId26" Type="http://schemas.openxmlformats.org/officeDocument/2006/relationships/hyperlink" Target="https://app.box.com/s/d15cxgl8vy4lb92go2yttml2rly7rvst" TargetMode="External"/><Relationship Id="rId39" Type="http://schemas.openxmlformats.org/officeDocument/2006/relationships/hyperlink" Target="https://app.box.com/s/3iwpygxn2c8yk3rdfjkb8efhor9og43q" TargetMode="External"/><Relationship Id="rId21" Type="http://schemas.openxmlformats.org/officeDocument/2006/relationships/hyperlink" Target="https://app.box.com/s/udd9vj2h01b0tzkhthdd8eoojslybjxe" TargetMode="External"/><Relationship Id="rId34" Type="http://schemas.openxmlformats.org/officeDocument/2006/relationships/hyperlink" Target="https://app.box.com/s/5hxaabj7jguvqagts20dhfwqzccncnvs" TargetMode="External"/><Relationship Id="rId42" Type="http://schemas.openxmlformats.org/officeDocument/2006/relationships/hyperlink" Target="https://app.box.com/s/nhajxv9xia1xblr4nn3c3rnfxoosnazv" TargetMode="External"/><Relationship Id="rId7" Type="http://schemas.openxmlformats.org/officeDocument/2006/relationships/hyperlink" Target="https://app.box.com/s/3ndefhpm8tubvirzz5ohezsltxocrs2c" TargetMode="External"/><Relationship Id="rId2" Type="http://schemas.openxmlformats.org/officeDocument/2006/relationships/hyperlink" Target="https://app.box.com/s/mi7bpa5uobj78lobgoa8gu179kd3d7t3" TargetMode="External"/><Relationship Id="rId16" Type="http://schemas.openxmlformats.org/officeDocument/2006/relationships/hyperlink" Target="https://app.box.com/s/5sg7tgfljaqkdvj9l9s9pfd7mqh91bbq" TargetMode="External"/><Relationship Id="rId29" Type="http://schemas.openxmlformats.org/officeDocument/2006/relationships/hyperlink" Target="https://app.box.com/s/wwmvcwgvw3chlf8j4lfu3new2ckv1mkj" TargetMode="External"/><Relationship Id="rId1" Type="http://schemas.openxmlformats.org/officeDocument/2006/relationships/hyperlink" Target="https://app.box.com/s/0pl980ucrmn2xzvr8izt0mguk3mviban" TargetMode="External"/><Relationship Id="rId6" Type="http://schemas.openxmlformats.org/officeDocument/2006/relationships/hyperlink" Target="https://app.box.com/s/gjezke29u0wbhxhgmbgud6rwnpcpyrs8" TargetMode="External"/><Relationship Id="rId11" Type="http://schemas.openxmlformats.org/officeDocument/2006/relationships/hyperlink" Target="https://app.box.com/s/pq29i3t58htekbywlis0qywbjfva90hs" TargetMode="External"/><Relationship Id="rId24" Type="http://schemas.openxmlformats.org/officeDocument/2006/relationships/hyperlink" Target="https://app.box.com/s/susffd4bcr8bluvk1jn2toq7uh4tvbrz" TargetMode="External"/><Relationship Id="rId32" Type="http://schemas.openxmlformats.org/officeDocument/2006/relationships/hyperlink" Target="https://app.box.com/s/wwmvcwgvw3chlf8j4lfu3new2ckv1mkj" TargetMode="External"/><Relationship Id="rId37" Type="http://schemas.openxmlformats.org/officeDocument/2006/relationships/hyperlink" Target="https://app.box.com/s/odnm0ughvaps6iiarvmubsbn8l2d9f7z" TargetMode="External"/><Relationship Id="rId40" Type="http://schemas.openxmlformats.org/officeDocument/2006/relationships/hyperlink" Target="https://app.box.com/s/nhajxv9xia1xblr4nn3c3rnfxoosnazv" TargetMode="External"/><Relationship Id="rId45" Type="http://schemas.openxmlformats.org/officeDocument/2006/relationships/hyperlink" Target="https://app.box.com/s/r2na33d32qsv8k479dvb7s35uop5ari0" TargetMode="External"/><Relationship Id="rId5" Type="http://schemas.openxmlformats.org/officeDocument/2006/relationships/hyperlink" Target="https://app.box.com/s/8tjza3weio8xdqthegxq23zuod2t0cxe" TargetMode="External"/><Relationship Id="rId15" Type="http://schemas.openxmlformats.org/officeDocument/2006/relationships/hyperlink" Target="https://app.box.com/s/pq29i3t58htekbywlis0qywbjfva90hs" TargetMode="External"/><Relationship Id="rId23" Type="http://schemas.openxmlformats.org/officeDocument/2006/relationships/hyperlink" Target="https://app.box.com/s/susffd4bcr8bluvk1jn2toq7uh4tvbrz" TargetMode="External"/><Relationship Id="rId28" Type="http://schemas.openxmlformats.org/officeDocument/2006/relationships/hyperlink" Target="https://app.box.com/s/odnm0ughvaps6iiarvmubsbn8l2d9f7z" TargetMode="External"/><Relationship Id="rId36" Type="http://schemas.openxmlformats.org/officeDocument/2006/relationships/hyperlink" Target="https://app.box.com/s/5hxaabj7jguvqagts20dhfwqzccncnvs" TargetMode="External"/><Relationship Id="rId10" Type="http://schemas.openxmlformats.org/officeDocument/2006/relationships/hyperlink" Target="https://app.box.com/s/0u9on2tsaj4mpm1ozvolw77mwcg4o8bk" TargetMode="External"/><Relationship Id="rId19" Type="http://schemas.openxmlformats.org/officeDocument/2006/relationships/hyperlink" Target="https://app.box.com/s/da8xn8kprugn4ckzpx6u7p3bp590h116" TargetMode="External"/><Relationship Id="rId31" Type="http://schemas.openxmlformats.org/officeDocument/2006/relationships/hyperlink" Target="https://app.box.com/s/wwmvcwgvw3chlf8j4lfu3new2ckv1mkj" TargetMode="External"/><Relationship Id="rId44" Type="http://schemas.openxmlformats.org/officeDocument/2006/relationships/hyperlink" Target="https://app.box.com/s/8tjza3weio8xdqthegxq23zuod2t0cxe" TargetMode="External"/><Relationship Id="rId4" Type="http://schemas.openxmlformats.org/officeDocument/2006/relationships/hyperlink" Target="https://app.box.com/s/5sg7tgfljaqkdvj9l9s9pfd7mqh91bbq" TargetMode="External"/><Relationship Id="rId9" Type="http://schemas.openxmlformats.org/officeDocument/2006/relationships/hyperlink" Target="https://app.box.com/s/apz6o7lzur3jo1tih1kar3u8q96mu3j6" TargetMode="External"/><Relationship Id="rId14" Type="http://schemas.openxmlformats.org/officeDocument/2006/relationships/hyperlink" Target="https://app.box.com/s/pq29i3t58htekbywlis0qywbjfva90hs" TargetMode="External"/><Relationship Id="rId22" Type="http://schemas.openxmlformats.org/officeDocument/2006/relationships/hyperlink" Target="https://app.box.com/s/susffd4bcr8bluvk1jn2toq7uh4tvbrz" TargetMode="External"/><Relationship Id="rId27" Type="http://schemas.openxmlformats.org/officeDocument/2006/relationships/hyperlink" Target="https://app.box.com/s/odnm0ughvaps6iiarvmubsbn8l2d9f7z" TargetMode="External"/><Relationship Id="rId30" Type="http://schemas.openxmlformats.org/officeDocument/2006/relationships/hyperlink" Target="https://app.box.com/s/wwmvcwgvw3chlf8j4lfu3new2ckv1mkj" TargetMode="External"/><Relationship Id="rId35" Type="http://schemas.openxmlformats.org/officeDocument/2006/relationships/hyperlink" Target="https://app.box.com/s/8tjza3weio8xdqthegxq23zuod2t0cxe" TargetMode="External"/><Relationship Id="rId43" Type="http://schemas.openxmlformats.org/officeDocument/2006/relationships/hyperlink" Target="https://app.box.com/s/nhajxv9xia1xblr4nn3c3rnfxoosnazv" TargetMode="External"/><Relationship Id="rId8" Type="http://schemas.openxmlformats.org/officeDocument/2006/relationships/hyperlink" Target="https://app.box.com/s/5hxaabj7jguvqagts20dhfwqzccncnvs" TargetMode="External"/><Relationship Id="rId3" Type="http://schemas.openxmlformats.org/officeDocument/2006/relationships/hyperlink" Target="https://app.box.com/s/5sg7tgfljaqkdvj9l9s9pfd7mqh91bbq" TargetMode="External"/><Relationship Id="rId12" Type="http://schemas.openxmlformats.org/officeDocument/2006/relationships/hyperlink" Target="https://app.box.com/s/pq29i3t58htekbywlis0qywbjfva90hs" TargetMode="External"/><Relationship Id="rId17" Type="http://schemas.openxmlformats.org/officeDocument/2006/relationships/hyperlink" Target="https://app.box.com/s/nhajxv9xia1xblr4nn3c3rnfxoosnazv" TargetMode="External"/><Relationship Id="rId25" Type="http://schemas.openxmlformats.org/officeDocument/2006/relationships/hyperlink" Target="https://app.box.com/s/hshhh7odzu7x1z1vgtrun3j493kqwdp0" TargetMode="External"/><Relationship Id="rId33" Type="http://schemas.openxmlformats.org/officeDocument/2006/relationships/hyperlink" Target="https://app.box.com/s/5hxaabj7jguvqagts20dhfwqzccncnvs" TargetMode="External"/><Relationship Id="rId38" Type="http://schemas.openxmlformats.org/officeDocument/2006/relationships/hyperlink" Target="https://app.box.com/s/21apq62k0ikkguqan9pouj2f5mz362wg" TargetMode="External"/><Relationship Id="rId20" Type="http://schemas.openxmlformats.org/officeDocument/2006/relationships/hyperlink" Target="https://app.box.com/s/cyqaltxyhpyo4q7phyjggol5hvkirjhz" TargetMode="External"/><Relationship Id="rId41" Type="http://schemas.openxmlformats.org/officeDocument/2006/relationships/hyperlink" Target="https://app.box.com/s/nhajxv9xia1xblr4nn3c3rnfxoosnazv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box.com/s/m8agc6rv41lnwfdbtfpfmrdhxy1c49z6" TargetMode="External"/><Relationship Id="rId13" Type="http://schemas.openxmlformats.org/officeDocument/2006/relationships/hyperlink" Target="https://app.box.com/s/53w9e3cksq49ed2uxqz8xu781bwqhcd7" TargetMode="External"/><Relationship Id="rId18" Type="http://schemas.openxmlformats.org/officeDocument/2006/relationships/hyperlink" Target="https://app.box.com/s/cktz4q797wgzo5dgoi1flvrcf2d70ae2" TargetMode="External"/><Relationship Id="rId3" Type="http://schemas.openxmlformats.org/officeDocument/2006/relationships/hyperlink" Target="https://app.box.com/s/u5vxvfgmyxrbit4ld0bvc4nbt7ykr3kl" TargetMode="External"/><Relationship Id="rId21" Type="http://schemas.openxmlformats.org/officeDocument/2006/relationships/hyperlink" Target="https://app.box.com/s/9e8tda9vapbga8l7w5fz634j1wp8rgf2" TargetMode="External"/><Relationship Id="rId7" Type="http://schemas.openxmlformats.org/officeDocument/2006/relationships/hyperlink" Target="https://app.box.com/s/m8agc6rv41lnwfdbtfpfmrdhxy1c49z6" TargetMode="External"/><Relationship Id="rId12" Type="http://schemas.openxmlformats.org/officeDocument/2006/relationships/hyperlink" Target="https://app.box.com/s/87aoa0keeccrp2wjejgw4x290m58wosw" TargetMode="External"/><Relationship Id="rId17" Type="http://schemas.openxmlformats.org/officeDocument/2006/relationships/hyperlink" Target="https://app.box.com/s/s8qd1ljuh5990pkgx70vw2rgyx2z46rd" TargetMode="External"/><Relationship Id="rId2" Type="http://schemas.openxmlformats.org/officeDocument/2006/relationships/hyperlink" Target="https://app.box.com/s/7zjzcwnqydyr5bu37f0wtp194tk8h277" TargetMode="External"/><Relationship Id="rId16" Type="http://schemas.openxmlformats.org/officeDocument/2006/relationships/hyperlink" Target="https://app.box.com/s/s8qd1ljuh5990pkgx70vw2rgyx2z46rd" TargetMode="External"/><Relationship Id="rId20" Type="http://schemas.openxmlformats.org/officeDocument/2006/relationships/hyperlink" Target="https://app.box.com/s/7zjzcwnqydyr5bu37f0wtp194tk8h277" TargetMode="External"/><Relationship Id="rId1" Type="http://schemas.openxmlformats.org/officeDocument/2006/relationships/hyperlink" Target="https://app.box.com/s/7zjzcwnqydyr5bu37f0wtp194tk8h277" TargetMode="External"/><Relationship Id="rId6" Type="http://schemas.openxmlformats.org/officeDocument/2006/relationships/hyperlink" Target="https://app.box.com/s/m8agc6rv41lnwfdbtfpfmrdhxy1c49z6" TargetMode="External"/><Relationship Id="rId11" Type="http://schemas.openxmlformats.org/officeDocument/2006/relationships/hyperlink" Target="https://app.box.com/s/87aoa0keeccrp2wjejgw4x290m58wosw" TargetMode="External"/><Relationship Id="rId5" Type="http://schemas.openxmlformats.org/officeDocument/2006/relationships/hyperlink" Target="https://app.box.com/s/78fbc1f3q6nbsfspd7wtlndy54xl0nn1" TargetMode="External"/><Relationship Id="rId15" Type="http://schemas.openxmlformats.org/officeDocument/2006/relationships/hyperlink" Target="https://app.box.com/s/s8qd1ljuh5990pkgx70vw2rgyx2z46rd" TargetMode="External"/><Relationship Id="rId10" Type="http://schemas.openxmlformats.org/officeDocument/2006/relationships/hyperlink" Target="https://app.box.com/s/m8agc6rv41lnwfdbtfpfmrdhxy1c49z6" TargetMode="External"/><Relationship Id="rId19" Type="http://schemas.openxmlformats.org/officeDocument/2006/relationships/hyperlink" Target="https://app.box.com/s/9e8tda9vapbga8l7w5fz634j1wp8rgf2" TargetMode="External"/><Relationship Id="rId4" Type="http://schemas.openxmlformats.org/officeDocument/2006/relationships/hyperlink" Target="https://app.box.com/s/7yy0dgh8ir64q6zrcizk1n612u82ui33" TargetMode="External"/><Relationship Id="rId9" Type="http://schemas.openxmlformats.org/officeDocument/2006/relationships/hyperlink" Target="https://app.box.com/s/m8agc6rv41lnwfdbtfpfmrdhxy1c49z6" TargetMode="External"/><Relationship Id="rId14" Type="http://schemas.openxmlformats.org/officeDocument/2006/relationships/hyperlink" Target="https://app.box.com/s/nbnqidkdn7sfzjgd5emwuubi81tsyfn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box.com/s/8rh4t0j0crxcxeeah2zornfww5vf8k6q" TargetMode="External"/><Relationship Id="rId13" Type="http://schemas.openxmlformats.org/officeDocument/2006/relationships/hyperlink" Target="https://app.box.com/s/69tfm0bhs543g9eda7195of0amq9lrw8" TargetMode="External"/><Relationship Id="rId18" Type="http://schemas.openxmlformats.org/officeDocument/2006/relationships/hyperlink" Target="https://app.box.com/s/69tfm0bhs543g9eda7195of0amq9lrw8" TargetMode="External"/><Relationship Id="rId3" Type="http://schemas.openxmlformats.org/officeDocument/2006/relationships/hyperlink" Target="https://app.box.com/s/tazdp96tisc08s7cytqkrlqhzusq80qb" TargetMode="External"/><Relationship Id="rId7" Type="http://schemas.openxmlformats.org/officeDocument/2006/relationships/hyperlink" Target="https://app.box.com/s/4wdkh2kzzp2ndbyg8k494yk7lt3fkrac" TargetMode="External"/><Relationship Id="rId12" Type="http://schemas.openxmlformats.org/officeDocument/2006/relationships/hyperlink" Target="https://app.box.com/s/xtaam7imedd1sgls0y7lvvbmn325lh06" TargetMode="External"/><Relationship Id="rId17" Type="http://schemas.openxmlformats.org/officeDocument/2006/relationships/hyperlink" Target="https://app.box.com/s/69tfm0bhs543g9eda7195of0amq9lrw8" TargetMode="External"/><Relationship Id="rId2" Type="http://schemas.openxmlformats.org/officeDocument/2006/relationships/hyperlink" Target="https://app.box.com/s/ugan45ua0fx8lftiirqssqboxidnfttk" TargetMode="External"/><Relationship Id="rId16" Type="http://schemas.openxmlformats.org/officeDocument/2006/relationships/hyperlink" Target="https://app.box.com/s/69tfm0bhs543g9eda7195of0amq9lrw8" TargetMode="External"/><Relationship Id="rId1" Type="http://schemas.openxmlformats.org/officeDocument/2006/relationships/hyperlink" Target="https://app.box.com/s/4wdkh2kzzp2ndbyg8k494yk7lt3fkrac" TargetMode="External"/><Relationship Id="rId6" Type="http://schemas.openxmlformats.org/officeDocument/2006/relationships/hyperlink" Target="https://app.box.com/s/n6u01eg24tn03nlhgwaky7isc3oi5eeo" TargetMode="External"/><Relationship Id="rId11" Type="http://schemas.openxmlformats.org/officeDocument/2006/relationships/hyperlink" Target="https://app.box.com/s/ody4x5dq7q4c9ozw2d84scopvyenzr3j" TargetMode="External"/><Relationship Id="rId5" Type="http://schemas.openxmlformats.org/officeDocument/2006/relationships/hyperlink" Target="https://app.box.com/s/8rh4t0j0crxcxeeah2zornfww5vf8k6q" TargetMode="External"/><Relationship Id="rId15" Type="http://schemas.openxmlformats.org/officeDocument/2006/relationships/hyperlink" Target="https://app.box.com/s/69tfm0bhs543g9eda7195of0amq9lrw8" TargetMode="External"/><Relationship Id="rId10" Type="http://schemas.openxmlformats.org/officeDocument/2006/relationships/hyperlink" Target="https://app.box.com/s/xtaam7imedd1sgls0y7lvvbmn325lh06" TargetMode="External"/><Relationship Id="rId19" Type="http://schemas.openxmlformats.org/officeDocument/2006/relationships/hyperlink" Target="https://app.box.com/s/69tfm0bhs543g9eda7195of0amq9lrw8" TargetMode="External"/><Relationship Id="rId4" Type="http://schemas.openxmlformats.org/officeDocument/2006/relationships/hyperlink" Target="https://app.box.com/s/mcuw9zqhf3uqd2h22j96u7crtlduk8tl" TargetMode="External"/><Relationship Id="rId9" Type="http://schemas.openxmlformats.org/officeDocument/2006/relationships/hyperlink" Target="https://app.box.com/s/n6u01eg24tn03nlhgwaky7isc3oi5eeo" TargetMode="External"/><Relationship Id="rId14" Type="http://schemas.openxmlformats.org/officeDocument/2006/relationships/hyperlink" Target="https://app.box.com/s/69tfm0bhs543g9eda7195of0amq9lrw8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box.com/s/69tfm0bhs543g9eda7195of0amq9lrw8" TargetMode="External"/><Relationship Id="rId13" Type="http://schemas.openxmlformats.org/officeDocument/2006/relationships/hyperlink" Target="https://app.box.com/s/yycz6xqxpiqvi1e6tiv08q4b3oqa307f" TargetMode="External"/><Relationship Id="rId18" Type="http://schemas.openxmlformats.org/officeDocument/2006/relationships/hyperlink" Target="https://app.box.com/s/2e7kisrtydfh3fqwi9z5gjlwqflrow1t" TargetMode="External"/><Relationship Id="rId3" Type="http://schemas.openxmlformats.org/officeDocument/2006/relationships/hyperlink" Target="https://app.box.com/s/69tfm0bhs543g9eda7195of0amq9lrw8" TargetMode="External"/><Relationship Id="rId21" Type="http://schemas.openxmlformats.org/officeDocument/2006/relationships/hyperlink" Target="https://app.box.com/s/zjwludx53dw1lj8bugh9ri5r98anecuk" TargetMode="External"/><Relationship Id="rId7" Type="http://schemas.openxmlformats.org/officeDocument/2006/relationships/hyperlink" Target="https://app.box.com/s/69tfm0bhs543g9eda7195of0amq9lrw8" TargetMode="External"/><Relationship Id="rId12" Type="http://schemas.openxmlformats.org/officeDocument/2006/relationships/hyperlink" Target="https://app.box.com/s/yycz6xqxpiqvi1e6tiv08q4b3oqa307f" TargetMode="External"/><Relationship Id="rId17" Type="http://schemas.openxmlformats.org/officeDocument/2006/relationships/hyperlink" Target="https://app.box.com/s/9faqpmnk4vwm3wu5hod5g8o7q22tflmk" TargetMode="External"/><Relationship Id="rId2" Type="http://schemas.openxmlformats.org/officeDocument/2006/relationships/hyperlink" Target="https://app.box.com/s/n5h7vf6pzdhb0pxkswsty66u4j50oaul" TargetMode="External"/><Relationship Id="rId16" Type="http://schemas.openxmlformats.org/officeDocument/2006/relationships/hyperlink" Target="https://app.box.com/s/jppi1vioqfc3n8j3sjv9u33da2l7hzmm" TargetMode="External"/><Relationship Id="rId20" Type="http://schemas.openxmlformats.org/officeDocument/2006/relationships/hyperlink" Target="https://app.box.com/s/zjwludx53dw1lj8bugh9ri5r98anecuk" TargetMode="External"/><Relationship Id="rId1" Type="http://schemas.openxmlformats.org/officeDocument/2006/relationships/hyperlink" Target="https://app.box.com/s/thobbafn3nwrqne81mews19anxgerpic" TargetMode="External"/><Relationship Id="rId6" Type="http://schemas.openxmlformats.org/officeDocument/2006/relationships/hyperlink" Target="https://app.box.com/s/69tfm0bhs543g9eda7195of0amq9lrw8" TargetMode="External"/><Relationship Id="rId11" Type="http://schemas.openxmlformats.org/officeDocument/2006/relationships/hyperlink" Target="https://app.box.com/s/mcuw9zqhf3uqd2h22j96u7crtlduk8tl" TargetMode="External"/><Relationship Id="rId5" Type="http://schemas.openxmlformats.org/officeDocument/2006/relationships/hyperlink" Target="https://app.box.com/s/69tfm0bhs543g9eda7195of0amq9lrw8" TargetMode="External"/><Relationship Id="rId15" Type="http://schemas.openxmlformats.org/officeDocument/2006/relationships/hyperlink" Target="https://app.box.com/s/whntw3tqip6cnjeu88d055o3rfbdr019" TargetMode="External"/><Relationship Id="rId10" Type="http://schemas.openxmlformats.org/officeDocument/2006/relationships/hyperlink" Target="https://app.box.com/s/pn6mlqst1x61k49wkpap6c0wvubvpch0" TargetMode="External"/><Relationship Id="rId19" Type="http://schemas.openxmlformats.org/officeDocument/2006/relationships/hyperlink" Target="https://app.box.com/s/zjwludx53dw1lj8bugh9ri5r98anecuk" TargetMode="External"/><Relationship Id="rId4" Type="http://schemas.openxmlformats.org/officeDocument/2006/relationships/hyperlink" Target="https://app.box.com/s/69tfm0bhs543g9eda7195of0amq9lrw8" TargetMode="External"/><Relationship Id="rId9" Type="http://schemas.openxmlformats.org/officeDocument/2006/relationships/hyperlink" Target="https://app.box.com/s/69tfm0bhs543g9eda7195of0amq9lrw8" TargetMode="External"/><Relationship Id="rId14" Type="http://schemas.openxmlformats.org/officeDocument/2006/relationships/hyperlink" Target="https://app.box.com/s/yycz6xqxpiqvi1e6tiv08q4b3oqa307f" TargetMode="External"/><Relationship Id="rId22" Type="http://schemas.openxmlformats.org/officeDocument/2006/relationships/hyperlink" Target="https://app.box.com/s/zjwludx53dw1lj8bugh9ri5r98anecuk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box.com/s/ody4x5dq7q4c9ozw2d84scopvyenzr3j" TargetMode="External"/><Relationship Id="rId13" Type="http://schemas.openxmlformats.org/officeDocument/2006/relationships/hyperlink" Target="https://app.box.com/s/515bucp35v2xd6rco6zpf7xhxx2ylfgg" TargetMode="External"/><Relationship Id="rId18" Type="http://schemas.openxmlformats.org/officeDocument/2006/relationships/hyperlink" Target="https://app.box.com/s/yycz6xqxpiqvi1e6tiv08q4b3oqa307f" TargetMode="External"/><Relationship Id="rId3" Type="http://schemas.openxmlformats.org/officeDocument/2006/relationships/hyperlink" Target="https://app.box.com/s/ugan45ua0fx8lftiirqssqboxidnfttk" TargetMode="External"/><Relationship Id="rId7" Type="http://schemas.openxmlformats.org/officeDocument/2006/relationships/hyperlink" Target="https://app.box.com/s/lbekib05qidq82sk4hdsa272urwmp4g0" TargetMode="External"/><Relationship Id="rId12" Type="http://schemas.openxmlformats.org/officeDocument/2006/relationships/hyperlink" Target="https://app.box.com/s/44vhaqm8jwzqkgzl4o7ukavktdjhk41b" TargetMode="External"/><Relationship Id="rId17" Type="http://schemas.openxmlformats.org/officeDocument/2006/relationships/hyperlink" Target="https://app.box.com/s/yycz6xqxpiqvi1e6tiv08q4b3oqa307f" TargetMode="External"/><Relationship Id="rId2" Type="http://schemas.openxmlformats.org/officeDocument/2006/relationships/hyperlink" Target="https://app.box.com/s/qabpdvjb798sasz3u2q77941ieec6aix" TargetMode="External"/><Relationship Id="rId16" Type="http://schemas.openxmlformats.org/officeDocument/2006/relationships/hyperlink" Target="https://app.box.com/s/t9mhty0orltqas7prdfuki4olhjv8xcg" TargetMode="External"/><Relationship Id="rId1" Type="http://schemas.openxmlformats.org/officeDocument/2006/relationships/hyperlink" Target="https://app.box.com/s/mcuw9zqhf3uqd2h22j96u7crtlduk8tl" TargetMode="External"/><Relationship Id="rId6" Type="http://schemas.openxmlformats.org/officeDocument/2006/relationships/hyperlink" Target="https://app.box.com/s/lbekib05qidq82sk4hdsa272urwmp4g0" TargetMode="External"/><Relationship Id="rId11" Type="http://schemas.openxmlformats.org/officeDocument/2006/relationships/hyperlink" Target="https://app.box.com/s/4lh3werqp7ou88buubfu76blm37u66nx" TargetMode="External"/><Relationship Id="rId5" Type="http://schemas.openxmlformats.org/officeDocument/2006/relationships/hyperlink" Target="https://app.box.com/s/bpudmdjt1d2ifytyr6sicas7bp2gaj9p" TargetMode="External"/><Relationship Id="rId15" Type="http://schemas.openxmlformats.org/officeDocument/2006/relationships/hyperlink" Target="https://app.box.com/s/jppi1vioqfc3n8j3sjv9u33da2l7hzmm" TargetMode="External"/><Relationship Id="rId10" Type="http://schemas.openxmlformats.org/officeDocument/2006/relationships/hyperlink" Target="https://app.box.com/s/qra44wi52pj6fhs3te12n9p54s38zi2l" TargetMode="External"/><Relationship Id="rId19" Type="http://schemas.openxmlformats.org/officeDocument/2006/relationships/hyperlink" Target="https://app.box.com/s/yycz6xqxpiqvi1e6tiv08q4b3oqa307f" TargetMode="External"/><Relationship Id="rId4" Type="http://schemas.openxmlformats.org/officeDocument/2006/relationships/hyperlink" Target="https://app.box.com/s/9p4eofl715hf8sbrh2ikydcrkk08deva" TargetMode="External"/><Relationship Id="rId9" Type="http://schemas.openxmlformats.org/officeDocument/2006/relationships/hyperlink" Target="https://app.box.com/s/qra44wi52pj6fhs3te12n9p54s38zi2l" TargetMode="External"/><Relationship Id="rId14" Type="http://schemas.openxmlformats.org/officeDocument/2006/relationships/hyperlink" Target="https://app.box.com/s/515bucp35v2xd6rco6zpf7xhxx2ylfg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box.com/s/70mf58pnrdavu9o9pk2r79bxo62dtzow" TargetMode="External"/><Relationship Id="rId13" Type="http://schemas.openxmlformats.org/officeDocument/2006/relationships/hyperlink" Target="https://app.box.com/s/70mf58pnrdavu9o9pk2r79bxo62dtzow" TargetMode="External"/><Relationship Id="rId18" Type="http://schemas.openxmlformats.org/officeDocument/2006/relationships/hyperlink" Target="https://app.box.com/s/mcuoynqnxkhke6aza2degw6eavijmo07" TargetMode="External"/><Relationship Id="rId3" Type="http://schemas.openxmlformats.org/officeDocument/2006/relationships/hyperlink" Target="https://app.box.com/s/8lj609fxl16y11n2rqkpi53g8i6zh56r" TargetMode="External"/><Relationship Id="rId21" Type="http://schemas.openxmlformats.org/officeDocument/2006/relationships/hyperlink" Target="https://app.box.com/s/qeiz4lk07ug9q46n0g9tzkl2hi5f83t3" TargetMode="External"/><Relationship Id="rId7" Type="http://schemas.openxmlformats.org/officeDocument/2006/relationships/hyperlink" Target="https://app.box.com/s/70mf58pnrdavu9o9pk2r79bxo62dtzow" TargetMode="External"/><Relationship Id="rId12" Type="http://schemas.openxmlformats.org/officeDocument/2006/relationships/hyperlink" Target="https://app.box.com/s/70mf58pnrdavu9o9pk2r79bxo62dtzow" TargetMode="External"/><Relationship Id="rId17" Type="http://schemas.openxmlformats.org/officeDocument/2006/relationships/hyperlink" Target="https://app.box.com/s/4lh3werqp7ou88buubfu76blm37u66nx" TargetMode="External"/><Relationship Id="rId2" Type="http://schemas.openxmlformats.org/officeDocument/2006/relationships/hyperlink" Target="https://app.box.com/s/qabpdvjb798sasz3u2q77941ieec6aix" TargetMode="External"/><Relationship Id="rId16" Type="http://schemas.openxmlformats.org/officeDocument/2006/relationships/hyperlink" Target="https://app.box.com/s/vxl3ppvkvl0sjm9ygatkmea3vju2kp1l" TargetMode="External"/><Relationship Id="rId20" Type="http://schemas.openxmlformats.org/officeDocument/2006/relationships/hyperlink" Target="https://app.box.com/s/qeiz4lk07ug9q46n0g9tzkl2hi5f83t3" TargetMode="External"/><Relationship Id="rId1" Type="http://schemas.openxmlformats.org/officeDocument/2006/relationships/hyperlink" Target="https://app.box.com/s/qm797i74r06bqvdetxt219c9beiizm82" TargetMode="External"/><Relationship Id="rId6" Type="http://schemas.openxmlformats.org/officeDocument/2006/relationships/hyperlink" Target="https://app.box.com/s/70mf58pnrdavu9o9pk2r79bxo62dtzow" TargetMode="External"/><Relationship Id="rId11" Type="http://schemas.openxmlformats.org/officeDocument/2006/relationships/hyperlink" Target="https://app.box.com/s/70mf58pnrdavu9o9pk2r79bxo62dtzow" TargetMode="External"/><Relationship Id="rId5" Type="http://schemas.openxmlformats.org/officeDocument/2006/relationships/hyperlink" Target="https://app.box.com/s/whntw3tqip6cnjeu88d055o3rfbdr019" TargetMode="External"/><Relationship Id="rId15" Type="http://schemas.openxmlformats.org/officeDocument/2006/relationships/hyperlink" Target="https://app.box.com/s/70mf58pnrdavu9o9pk2r79bxo62dtzow" TargetMode="External"/><Relationship Id="rId10" Type="http://schemas.openxmlformats.org/officeDocument/2006/relationships/hyperlink" Target="https://app.box.com/s/70mf58pnrdavu9o9pk2r79bxo62dtzow" TargetMode="External"/><Relationship Id="rId19" Type="http://schemas.openxmlformats.org/officeDocument/2006/relationships/hyperlink" Target="https://app.box.com/s/80gawmo0pcc1a1vjipi99ob01zssm4cr" TargetMode="External"/><Relationship Id="rId4" Type="http://schemas.openxmlformats.org/officeDocument/2006/relationships/hyperlink" Target="https://app.box.com/s/n5h7vf6pzdhb0pxkswsty66u4j50oaul" TargetMode="External"/><Relationship Id="rId9" Type="http://schemas.openxmlformats.org/officeDocument/2006/relationships/hyperlink" Target="https://app.box.com/s/70mf58pnrdavu9o9pk2r79bxo62dtzow" TargetMode="External"/><Relationship Id="rId14" Type="http://schemas.openxmlformats.org/officeDocument/2006/relationships/hyperlink" Target="https://app.box.com/s/70mf58pnrdavu9o9pk2r79bxo62dtzow" TargetMode="External"/><Relationship Id="rId22" Type="http://schemas.openxmlformats.org/officeDocument/2006/relationships/hyperlink" Target="https://app.box.com/s/ev9xkk5kz9gkjzczbss7nr93d22yv40d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box.com/s/4qhmk2xpt9qoovl4c56flsa8vre4619o" TargetMode="External"/><Relationship Id="rId3" Type="http://schemas.openxmlformats.org/officeDocument/2006/relationships/hyperlink" Target="https://app.box.com/s/3pms85idoi239lfae2ab7oy8zs4k9i63" TargetMode="External"/><Relationship Id="rId7" Type="http://schemas.openxmlformats.org/officeDocument/2006/relationships/hyperlink" Target="https://app.box.com/s/4qhmk2xpt9qoovl4c56flsa8vre4619o" TargetMode="External"/><Relationship Id="rId2" Type="http://schemas.openxmlformats.org/officeDocument/2006/relationships/hyperlink" Target="https://app.box.com/s/3pms85idoi239lfae2ab7oy8zs4k9i63" TargetMode="External"/><Relationship Id="rId1" Type="http://schemas.openxmlformats.org/officeDocument/2006/relationships/hyperlink" Target="https://app.box.com/s/3pms85idoi239lfae2ab7oy8zs4k9i63" TargetMode="External"/><Relationship Id="rId6" Type="http://schemas.openxmlformats.org/officeDocument/2006/relationships/hyperlink" Target="https://app.box.com/s/4oq55qh5w9tpn1ryzgke5b355d3bttve" TargetMode="External"/><Relationship Id="rId5" Type="http://schemas.openxmlformats.org/officeDocument/2006/relationships/hyperlink" Target="https://app.box.com/s/jlxia71gx7h2te5zwjewq8n25wd24emd" TargetMode="External"/><Relationship Id="rId10" Type="http://schemas.openxmlformats.org/officeDocument/2006/relationships/hyperlink" Target="https://app.box.com/s/5sb0g4ojyixjscuyfjibtuh9coe67yv5" TargetMode="External"/><Relationship Id="rId4" Type="http://schemas.openxmlformats.org/officeDocument/2006/relationships/hyperlink" Target="https://app.box.com/s/3pms85idoi239lfae2ab7oy8zs4k9i63" TargetMode="External"/><Relationship Id="rId9" Type="http://schemas.openxmlformats.org/officeDocument/2006/relationships/hyperlink" Target="https://app.box.com/s/f0d1luz5nx9d30arff2szh88bs1g6dav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box.com/s/79hihukr8068w61wymvz0mh00qy2mz9b" TargetMode="External"/><Relationship Id="rId2" Type="http://schemas.openxmlformats.org/officeDocument/2006/relationships/hyperlink" Target="https://app.box.com/s/79hihukr8068w61wymvz0mh00qy2mz9b" TargetMode="External"/><Relationship Id="rId1" Type="http://schemas.openxmlformats.org/officeDocument/2006/relationships/hyperlink" Target="https://app.box.com/s/79hihukr8068w61wymvz0mh00qy2mz9b" TargetMode="External"/><Relationship Id="rId5" Type="http://schemas.openxmlformats.org/officeDocument/2006/relationships/hyperlink" Target="https://app.box.com/s/escmqg4pxuy0bfnw95zvkxltly7f8ek6" TargetMode="External"/><Relationship Id="rId4" Type="http://schemas.openxmlformats.org/officeDocument/2006/relationships/hyperlink" Target="https://app.box.com/s/1lpcxygvh2wcokohjyi2k7i6jpa9b88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346E-A6E1-4BBF-AC52-D5FF08E94C7B}">
  <dimension ref="B2:I94"/>
  <sheetViews>
    <sheetView tabSelected="1" zoomScale="125" zoomScaleNormal="125" workbookViewId="0">
      <selection activeCell="B62" sqref="B62"/>
    </sheetView>
  </sheetViews>
  <sheetFormatPr defaultColWidth="8.77734375" defaultRowHeight="14.4"/>
  <cols>
    <col min="2" max="2" width="47" customWidth="1"/>
    <col min="3" max="3" width="36.6640625" bestFit="1" customWidth="1"/>
    <col min="4" max="4" width="18.6640625" customWidth="1"/>
    <col min="5" max="5" width="15.77734375" customWidth="1"/>
    <col min="6" max="6" width="14.6640625" customWidth="1"/>
    <col min="7" max="7" width="17.77734375" customWidth="1"/>
    <col min="8" max="8" width="15.77734375" customWidth="1"/>
    <col min="9" max="9" width="30.44140625" customWidth="1"/>
  </cols>
  <sheetData>
    <row r="2" spans="2:9" ht="21">
      <c r="B2" s="17" t="s">
        <v>54</v>
      </c>
    </row>
    <row r="4" spans="2:9" ht="17.399999999999999">
      <c r="B4" s="14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</row>
    <row r="5" spans="2:9">
      <c r="B5" s="1" t="s">
        <v>25</v>
      </c>
      <c r="C5" s="2" t="s">
        <v>23</v>
      </c>
      <c r="D5" s="3" t="s">
        <v>9</v>
      </c>
      <c r="E5" s="4">
        <v>1466</v>
      </c>
      <c r="F5" s="5" t="s">
        <v>26</v>
      </c>
      <c r="G5" s="5">
        <f t="shared" ref="G5:G21" si="0">(H5*E5)/12</f>
        <v>20157.5</v>
      </c>
      <c r="H5" s="6">
        <v>165</v>
      </c>
      <c r="I5" s="7" t="s">
        <v>11</v>
      </c>
    </row>
    <row r="6" spans="2:9">
      <c r="B6" s="1" t="s">
        <v>193</v>
      </c>
      <c r="C6" s="2" t="s">
        <v>19</v>
      </c>
      <c r="D6" s="3" t="s">
        <v>9</v>
      </c>
      <c r="E6" s="4">
        <v>2248</v>
      </c>
      <c r="F6" s="5" t="s">
        <v>14</v>
      </c>
      <c r="G6" s="5">
        <f t="shared" si="0"/>
        <v>29036.666666666668</v>
      </c>
      <c r="H6" s="5">
        <v>155</v>
      </c>
      <c r="I6" s="7" t="s">
        <v>11</v>
      </c>
    </row>
    <row r="7" spans="2:9">
      <c r="B7" s="1" t="s">
        <v>193</v>
      </c>
      <c r="C7" s="8" t="s">
        <v>13</v>
      </c>
      <c r="D7" s="8" t="s">
        <v>9</v>
      </c>
      <c r="E7" s="4">
        <v>1695</v>
      </c>
      <c r="F7" s="8" t="s">
        <v>14</v>
      </c>
      <c r="G7" s="5">
        <f t="shared" si="0"/>
        <v>21893.75</v>
      </c>
      <c r="H7" s="5">
        <v>155</v>
      </c>
      <c r="I7" s="7" t="s">
        <v>11</v>
      </c>
    </row>
    <row r="8" spans="2:9">
      <c r="B8" s="1" t="s">
        <v>60</v>
      </c>
      <c r="C8" s="8" t="s">
        <v>23</v>
      </c>
      <c r="D8" s="8" t="s">
        <v>9</v>
      </c>
      <c r="E8" s="4">
        <v>4106</v>
      </c>
      <c r="F8" s="8" t="s">
        <v>14</v>
      </c>
      <c r="G8" s="5">
        <f t="shared" si="0"/>
        <v>53035.833333333336</v>
      </c>
      <c r="H8" s="5">
        <v>155</v>
      </c>
      <c r="I8" s="7" t="s">
        <v>11</v>
      </c>
    </row>
    <row r="9" spans="2:9">
      <c r="B9" s="21" t="s">
        <v>216</v>
      </c>
      <c r="C9" s="22" t="s">
        <v>35</v>
      </c>
      <c r="D9" s="22" t="s">
        <v>9</v>
      </c>
      <c r="E9" s="23">
        <v>2796</v>
      </c>
      <c r="F9" s="22" t="s">
        <v>14</v>
      </c>
      <c r="G9" s="24">
        <f t="shared" si="0"/>
        <v>39610</v>
      </c>
      <c r="H9" s="24">
        <v>170</v>
      </c>
      <c r="I9" s="25" t="s">
        <v>11</v>
      </c>
    </row>
    <row r="10" spans="2:9">
      <c r="B10" s="21" t="s">
        <v>216</v>
      </c>
      <c r="C10" s="22" t="s">
        <v>19</v>
      </c>
      <c r="D10" s="22" t="s">
        <v>9</v>
      </c>
      <c r="E10" s="23">
        <v>2963</v>
      </c>
      <c r="F10" s="22" t="s">
        <v>14</v>
      </c>
      <c r="G10" s="24">
        <f t="shared" si="0"/>
        <v>40741.25</v>
      </c>
      <c r="H10" s="24">
        <v>165</v>
      </c>
      <c r="I10" s="25" t="s">
        <v>11</v>
      </c>
    </row>
    <row r="11" spans="2:9">
      <c r="B11" s="21" t="s">
        <v>216</v>
      </c>
      <c r="C11" s="22" t="s">
        <v>20</v>
      </c>
      <c r="D11" s="22" t="s">
        <v>9</v>
      </c>
      <c r="E11" s="23">
        <v>2878</v>
      </c>
      <c r="F11" s="22" t="s">
        <v>14</v>
      </c>
      <c r="G11" s="24">
        <f t="shared" si="0"/>
        <v>39572.5</v>
      </c>
      <c r="H11" s="24">
        <v>165</v>
      </c>
      <c r="I11" s="25" t="s">
        <v>11</v>
      </c>
    </row>
    <row r="12" spans="2:9">
      <c r="B12" s="1" t="s">
        <v>55</v>
      </c>
      <c r="C12" s="2" t="s">
        <v>23</v>
      </c>
      <c r="D12" s="3" t="s">
        <v>16</v>
      </c>
      <c r="E12" s="4">
        <v>2513</v>
      </c>
      <c r="F12" s="5" t="s">
        <v>14</v>
      </c>
      <c r="G12" s="5">
        <f t="shared" si="0"/>
        <v>33506.666666666664</v>
      </c>
      <c r="H12" s="6">
        <v>160</v>
      </c>
      <c r="I12" s="7" t="s">
        <v>11</v>
      </c>
    </row>
    <row r="13" spans="2:9">
      <c r="B13" s="1" t="s">
        <v>55</v>
      </c>
      <c r="C13" s="2" t="s">
        <v>13</v>
      </c>
      <c r="D13" s="3" t="s">
        <v>16</v>
      </c>
      <c r="E13" s="4">
        <v>2348</v>
      </c>
      <c r="F13" s="5" t="s">
        <v>14</v>
      </c>
      <c r="G13" s="5">
        <f t="shared" si="0"/>
        <v>31306.666666666668</v>
      </c>
      <c r="H13" s="6">
        <v>160</v>
      </c>
      <c r="I13" s="7" t="s">
        <v>11</v>
      </c>
    </row>
    <row r="14" spans="2:9">
      <c r="B14" s="9" t="s">
        <v>56</v>
      </c>
      <c r="C14" s="3" t="s">
        <v>57</v>
      </c>
      <c r="D14" s="3" t="s">
        <v>9</v>
      </c>
      <c r="E14" s="10">
        <v>1946</v>
      </c>
      <c r="F14" s="2" t="s">
        <v>14</v>
      </c>
      <c r="G14" s="5">
        <f t="shared" si="0"/>
        <v>26757.5</v>
      </c>
      <c r="H14" s="11">
        <v>165</v>
      </c>
      <c r="I14" s="7" t="s">
        <v>11</v>
      </c>
    </row>
    <row r="15" spans="2:9">
      <c r="B15" s="9" t="s">
        <v>186</v>
      </c>
      <c r="C15" s="3" t="s">
        <v>8</v>
      </c>
      <c r="D15" s="3" t="s">
        <v>9</v>
      </c>
      <c r="E15" s="10">
        <v>6024</v>
      </c>
      <c r="F15" s="2" t="s">
        <v>14</v>
      </c>
      <c r="G15" s="5">
        <f t="shared" si="0"/>
        <v>70280</v>
      </c>
      <c r="H15" s="11">
        <v>140</v>
      </c>
      <c r="I15" s="7" t="s">
        <v>11</v>
      </c>
    </row>
    <row r="16" spans="2:9">
      <c r="B16" s="9" t="s">
        <v>186</v>
      </c>
      <c r="C16" s="3" t="s">
        <v>19</v>
      </c>
      <c r="D16" s="3" t="s">
        <v>9</v>
      </c>
      <c r="E16" s="10">
        <v>2216</v>
      </c>
      <c r="F16" s="2" t="s">
        <v>14</v>
      </c>
      <c r="G16" s="5">
        <f t="shared" si="0"/>
        <v>25853.333333333332</v>
      </c>
      <c r="H16" s="11">
        <v>140</v>
      </c>
      <c r="I16" s="7" t="s">
        <v>11</v>
      </c>
    </row>
    <row r="17" spans="2:9">
      <c r="B17" s="9" t="s">
        <v>234</v>
      </c>
      <c r="C17" s="3" t="s">
        <v>13</v>
      </c>
      <c r="D17" s="3" t="s">
        <v>9</v>
      </c>
      <c r="E17" s="10">
        <v>3043</v>
      </c>
      <c r="F17" s="2" t="s">
        <v>14</v>
      </c>
      <c r="G17" s="5">
        <f t="shared" si="0"/>
        <v>35501.666666666664</v>
      </c>
      <c r="H17" s="11">
        <v>140</v>
      </c>
      <c r="I17" s="7" t="s">
        <v>44</v>
      </c>
    </row>
    <row r="18" spans="2:9">
      <c r="B18" s="9" t="s">
        <v>187</v>
      </c>
      <c r="C18" s="3" t="s">
        <v>20</v>
      </c>
      <c r="D18" s="3" t="s">
        <v>182</v>
      </c>
      <c r="E18" s="10">
        <v>3043</v>
      </c>
      <c r="F18" s="2" t="s">
        <v>14</v>
      </c>
      <c r="G18" s="5">
        <f t="shared" si="0"/>
        <v>41841.25</v>
      </c>
      <c r="H18" s="11">
        <v>165</v>
      </c>
      <c r="I18" s="7" t="s">
        <v>11</v>
      </c>
    </row>
    <row r="19" spans="2:9">
      <c r="B19" s="1" t="s">
        <v>214</v>
      </c>
      <c r="C19" s="8" t="s">
        <v>23</v>
      </c>
      <c r="D19" s="8" t="s">
        <v>9</v>
      </c>
      <c r="E19" s="4">
        <v>4311</v>
      </c>
      <c r="F19" s="5" t="s">
        <v>14</v>
      </c>
      <c r="G19" s="5">
        <f t="shared" si="0"/>
        <v>53887.5</v>
      </c>
      <c r="H19" s="5">
        <v>150</v>
      </c>
      <c r="I19" s="7" t="s">
        <v>11</v>
      </c>
    </row>
    <row r="20" spans="2:9">
      <c r="B20" s="1" t="s">
        <v>214</v>
      </c>
      <c r="C20" s="3" t="s">
        <v>20</v>
      </c>
      <c r="D20" s="8" t="s">
        <v>16</v>
      </c>
      <c r="E20" s="10">
        <v>4309</v>
      </c>
      <c r="F20" s="5" t="s">
        <v>14</v>
      </c>
      <c r="G20" s="5">
        <f t="shared" si="0"/>
        <v>53862.5</v>
      </c>
      <c r="H20" s="5">
        <v>150</v>
      </c>
      <c r="I20" s="7" t="s">
        <v>11</v>
      </c>
    </row>
    <row r="21" spans="2:9">
      <c r="B21" s="1" t="s">
        <v>214</v>
      </c>
      <c r="C21" s="8" t="s">
        <v>13</v>
      </c>
      <c r="D21" s="8" t="s">
        <v>16</v>
      </c>
      <c r="E21" s="4">
        <v>4328</v>
      </c>
      <c r="F21" s="5" t="s">
        <v>14</v>
      </c>
      <c r="G21" s="5">
        <f t="shared" si="0"/>
        <v>54100</v>
      </c>
      <c r="H21" s="5">
        <v>150</v>
      </c>
      <c r="I21" s="7" t="s">
        <v>11</v>
      </c>
    </row>
    <row r="22" spans="2:9">
      <c r="B22" s="9" t="s">
        <v>58</v>
      </c>
      <c r="C22" s="8" t="s">
        <v>42</v>
      </c>
      <c r="D22" s="8" t="s">
        <v>9</v>
      </c>
      <c r="E22" s="4">
        <v>3426</v>
      </c>
      <c r="F22" s="2" t="s">
        <v>14</v>
      </c>
      <c r="G22" s="5">
        <f t="shared" ref="G22:G45" si="1">(H22*E22)/12</f>
        <v>42825</v>
      </c>
      <c r="H22" s="5">
        <v>150</v>
      </c>
      <c r="I22" s="7" t="s">
        <v>38</v>
      </c>
    </row>
    <row r="23" spans="2:9">
      <c r="B23" s="9" t="s">
        <v>58</v>
      </c>
      <c r="C23" s="3" t="s">
        <v>20</v>
      </c>
      <c r="D23" s="3" t="s">
        <v>29</v>
      </c>
      <c r="E23" s="10">
        <v>4553</v>
      </c>
      <c r="F23" s="2" t="s">
        <v>14</v>
      </c>
      <c r="G23" s="5">
        <f t="shared" si="1"/>
        <v>55015.416666666664</v>
      </c>
      <c r="H23" s="11">
        <v>145</v>
      </c>
      <c r="I23" s="7" t="s">
        <v>11</v>
      </c>
    </row>
    <row r="24" spans="2:9">
      <c r="B24" s="9" t="s">
        <v>236</v>
      </c>
      <c r="C24" s="3" t="s">
        <v>13</v>
      </c>
      <c r="D24" s="3" t="s">
        <v>9</v>
      </c>
      <c r="E24" s="10">
        <v>4847</v>
      </c>
      <c r="F24" s="2" t="s">
        <v>14</v>
      </c>
      <c r="G24" s="5">
        <f t="shared" si="1"/>
        <v>56548.333333333336</v>
      </c>
      <c r="H24" s="11">
        <v>140</v>
      </c>
      <c r="I24" s="7" t="s">
        <v>44</v>
      </c>
    </row>
    <row r="25" spans="2:9">
      <c r="B25" s="9" t="s">
        <v>12</v>
      </c>
      <c r="C25" s="3" t="s">
        <v>13</v>
      </c>
      <c r="D25" s="3" t="s">
        <v>9</v>
      </c>
      <c r="E25" s="10">
        <v>4464</v>
      </c>
      <c r="F25" s="2" t="s">
        <v>14</v>
      </c>
      <c r="G25" s="5">
        <f t="shared" si="1"/>
        <v>54870</v>
      </c>
      <c r="H25" s="20">
        <v>147.5</v>
      </c>
      <c r="I25" s="7" t="s">
        <v>11</v>
      </c>
    </row>
    <row r="26" spans="2:9">
      <c r="B26" s="9" t="s">
        <v>70</v>
      </c>
      <c r="C26" s="3" t="s">
        <v>217</v>
      </c>
      <c r="D26" s="3" t="s">
        <v>16</v>
      </c>
      <c r="E26" s="10">
        <v>4768</v>
      </c>
      <c r="F26" s="2" t="s">
        <v>14</v>
      </c>
      <c r="G26" s="5">
        <f t="shared" si="1"/>
        <v>75493.333333333328</v>
      </c>
      <c r="H26" s="11">
        <v>190</v>
      </c>
      <c r="I26" s="7" t="s">
        <v>38</v>
      </c>
    </row>
    <row r="27" spans="2:9">
      <c r="B27" s="9" t="s">
        <v>244</v>
      </c>
      <c r="C27" s="3" t="s">
        <v>8</v>
      </c>
      <c r="D27" s="3" t="s">
        <v>39</v>
      </c>
      <c r="E27" s="10">
        <v>4677</v>
      </c>
      <c r="F27" s="2" t="s">
        <v>14</v>
      </c>
      <c r="G27" s="5">
        <f t="shared" si="1"/>
        <v>58462.5</v>
      </c>
      <c r="H27" s="11">
        <v>150</v>
      </c>
      <c r="I27" s="7" t="s">
        <v>44</v>
      </c>
    </row>
    <row r="28" spans="2:9">
      <c r="B28" s="1" t="s">
        <v>76</v>
      </c>
      <c r="C28" s="3" t="s">
        <v>207</v>
      </c>
      <c r="D28" s="3" t="s">
        <v>9</v>
      </c>
      <c r="E28" s="10">
        <v>9051</v>
      </c>
      <c r="F28" s="2" t="s">
        <v>14</v>
      </c>
      <c r="G28" s="5">
        <f t="shared" si="1"/>
        <v>120680</v>
      </c>
      <c r="H28" s="11">
        <v>160</v>
      </c>
      <c r="I28" s="7" t="s">
        <v>11</v>
      </c>
    </row>
    <row r="29" spans="2:9">
      <c r="B29" s="1" t="s">
        <v>76</v>
      </c>
      <c r="C29" s="3" t="s">
        <v>208</v>
      </c>
      <c r="D29" s="3" t="s">
        <v>9</v>
      </c>
      <c r="E29" s="10">
        <v>4926</v>
      </c>
      <c r="F29" s="2" t="s">
        <v>14</v>
      </c>
      <c r="G29" s="5">
        <f t="shared" si="1"/>
        <v>63627.5</v>
      </c>
      <c r="H29" s="11">
        <v>155</v>
      </c>
      <c r="I29" s="7" t="s">
        <v>11</v>
      </c>
    </row>
    <row r="30" spans="2:9">
      <c r="B30" s="9" t="s">
        <v>184</v>
      </c>
      <c r="C30" s="3" t="s">
        <v>35</v>
      </c>
      <c r="D30" s="3" t="s">
        <v>9</v>
      </c>
      <c r="E30" s="10">
        <v>5177</v>
      </c>
      <c r="F30" s="5" t="s">
        <v>14</v>
      </c>
      <c r="G30" s="5">
        <f t="shared" si="1"/>
        <v>64712.5</v>
      </c>
      <c r="H30" s="11">
        <v>150</v>
      </c>
      <c r="I30" s="7" t="s">
        <v>11</v>
      </c>
    </row>
    <row r="31" spans="2:9">
      <c r="B31" s="9" t="s">
        <v>30</v>
      </c>
      <c r="C31" s="3" t="s">
        <v>35</v>
      </c>
      <c r="D31" s="3" t="s">
        <v>16</v>
      </c>
      <c r="E31" s="10">
        <v>5178</v>
      </c>
      <c r="F31" s="5" t="s">
        <v>14</v>
      </c>
      <c r="G31" s="5">
        <f t="shared" si="1"/>
        <v>60410</v>
      </c>
      <c r="H31" s="11">
        <v>140</v>
      </c>
      <c r="I31" s="7"/>
    </row>
    <row r="32" spans="2:9">
      <c r="B32" s="9" t="s">
        <v>211</v>
      </c>
      <c r="C32" s="3" t="s">
        <v>20</v>
      </c>
      <c r="D32" s="3" t="s">
        <v>9</v>
      </c>
      <c r="E32" s="10">
        <v>5522</v>
      </c>
      <c r="F32" s="5" t="s">
        <v>17</v>
      </c>
      <c r="G32" s="5">
        <f t="shared" si="1"/>
        <v>66724.166666666672</v>
      </c>
      <c r="H32" s="11">
        <v>145</v>
      </c>
      <c r="I32" s="7" t="s">
        <v>11</v>
      </c>
    </row>
    <row r="33" spans="2:9">
      <c r="B33" s="9" t="s">
        <v>215</v>
      </c>
      <c r="C33" s="3" t="s">
        <v>19</v>
      </c>
      <c r="D33" s="3" t="s">
        <v>9</v>
      </c>
      <c r="E33" s="10">
        <v>5647</v>
      </c>
      <c r="F33" s="5" t="s">
        <v>14</v>
      </c>
      <c r="G33" s="5">
        <f t="shared" si="1"/>
        <v>82352.083333333328</v>
      </c>
      <c r="H33" s="11">
        <v>175</v>
      </c>
      <c r="I33" s="7" t="s">
        <v>11</v>
      </c>
    </row>
    <row r="34" spans="2:9">
      <c r="B34" s="26" t="s">
        <v>258</v>
      </c>
      <c r="C34" s="27" t="s">
        <v>23</v>
      </c>
      <c r="D34" s="27" t="s">
        <v>9</v>
      </c>
      <c r="E34" s="28">
        <v>5617</v>
      </c>
      <c r="F34" s="24" t="s">
        <v>14</v>
      </c>
      <c r="G34" s="24">
        <f t="shared" si="1"/>
        <v>72552.916666666672</v>
      </c>
      <c r="H34" s="29">
        <v>155</v>
      </c>
      <c r="I34" s="25" t="s">
        <v>44</v>
      </c>
    </row>
    <row r="35" spans="2:9">
      <c r="B35" s="1" t="s">
        <v>59</v>
      </c>
      <c r="C35" s="8" t="s">
        <v>8</v>
      </c>
      <c r="D35" s="8" t="s">
        <v>9</v>
      </c>
      <c r="E35" s="4">
        <v>3441</v>
      </c>
      <c r="F35" s="5" t="s">
        <v>17</v>
      </c>
      <c r="G35" s="5">
        <f t="shared" si="1"/>
        <v>50181.25</v>
      </c>
      <c r="H35" s="5">
        <v>175</v>
      </c>
      <c r="I35" s="7" t="s">
        <v>11</v>
      </c>
    </row>
    <row r="36" spans="2:9">
      <c r="B36" s="1" t="s">
        <v>59</v>
      </c>
      <c r="C36" s="8" t="s">
        <v>20</v>
      </c>
      <c r="D36" s="8" t="s">
        <v>9</v>
      </c>
      <c r="E36" s="4">
        <v>5988</v>
      </c>
      <c r="F36" s="5" t="s">
        <v>17</v>
      </c>
      <c r="G36" s="5">
        <f t="shared" si="1"/>
        <v>82335</v>
      </c>
      <c r="H36" s="5">
        <v>165</v>
      </c>
      <c r="I36" s="7" t="s">
        <v>11</v>
      </c>
    </row>
    <row r="37" spans="2:9">
      <c r="B37" s="1" t="s">
        <v>59</v>
      </c>
      <c r="C37" s="8" t="s">
        <v>13</v>
      </c>
      <c r="D37" s="8" t="s">
        <v>9</v>
      </c>
      <c r="E37" s="4">
        <v>6033</v>
      </c>
      <c r="F37" s="5" t="s">
        <v>17</v>
      </c>
      <c r="G37" s="5">
        <f t="shared" si="1"/>
        <v>80440</v>
      </c>
      <c r="H37" s="5">
        <v>160</v>
      </c>
      <c r="I37" s="7" t="s">
        <v>11</v>
      </c>
    </row>
    <row r="38" spans="2:9">
      <c r="B38" s="1" t="s">
        <v>149</v>
      </c>
      <c r="C38" s="8" t="s">
        <v>13</v>
      </c>
      <c r="D38" s="8" t="s">
        <v>9</v>
      </c>
      <c r="E38" s="4">
        <v>6725</v>
      </c>
      <c r="F38" s="5" t="s">
        <v>14</v>
      </c>
      <c r="G38" s="5">
        <f t="shared" si="1"/>
        <v>81260.416666666672</v>
      </c>
      <c r="H38" s="5">
        <v>145</v>
      </c>
      <c r="I38" s="7" t="s">
        <v>11</v>
      </c>
    </row>
    <row r="39" spans="2:9">
      <c r="B39" s="1" t="s">
        <v>204</v>
      </c>
      <c r="C39" s="8" t="s">
        <v>13</v>
      </c>
      <c r="D39" s="8" t="s">
        <v>9</v>
      </c>
      <c r="E39" s="4">
        <v>6984</v>
      </c>
      <c r="F39" s="5" t="s">
        <v>14</v>
      </c>
      <c r="G39" s="5">
        <f t="shared" si="1"/>
        <v>90210</v>
      </c>
      <c r="H39" s="5">
        <v>155</v>
      </c>
      <c r="I39" s="7" t="s">
        <v>44</v>
      </c>
    </row>
    <row r="40" spans="2:9">
      <c r="B40" s="1" t="s">
        <v>203</v>
      </c>
      <c r="C40" s="8" t="s">
        <v>13</v>
      </c>
      <c r="D40" s="8" t="s">
        <v>9</v>
      </c>
      <c r="E40" s="4">
        <v>7256</v>
      </c>
      <c r="F40" s="5" t="s">
        <v>17</v>
      </c>
      <c r="G40" s="5">
        <f t="shared" si="1"/>
        <v>90700</v>
      </c>
      <c r="H40" s="5">
        <v>150</v>
      </c>
      <c r="I40" s="7" t="s">
        <v>44</v>
      </c>
    </row>
    <row r="41" spans="2:9">
      <c r="B41" s="1" t="s">
        <v>171</v>
      </c>
      <c r="C41" s="8" t="s">
        <v>8</v>
      </c>
      <c r="D41" s="8" t="s">
        <v>9</v>
      </c>
      <c r="E41" s="4">
        <v>8104</v>
      </c>
      <c r="F41" s="5" t="s">
        <v>14</v>
      </c>
      <c r="G41" s="5">
        <f t="shared" si="1"/>
        <v>108053.33333333333</v>
      </c>
      <c r="H41" s="5">
        <v>160</v>
      </c>
      <c r="I41" s="7" t="s">
        <v>44</v>
      </c>
    </row>
    <row r="42" spans="2:9">
      <c r="B42" s="1" t="s">
        <v>62</v>
      </c>
      <c r="C42" s="8" t="s">
        <v>46</v>
      </c>
      <c r="D42" s="8" t="s">
        <v>16</v>
      </c>
      <c r="E42" s="4">
        <v>13318</v>
      </c>
      <c r="F42" s="5" t="s">
        <v>14</v>
      </c>
      <c r="G42" s="5">
        <f t="shared" si="1"/>
        <v>155376.66666666666</v>
      </c>
      <c r="H42" s="5">
        <v>140</v>
      </c>
      <c r="I42" s="7" t="s">
        <v>44</v>
      </c>
    </row>
    <row r="43" spans="2:9">
      <c r="B43" s="1" t="s">
        <v>62</v>
      </c>
      <c r="C43" s="8" t="s">
        <v>13</v>
      </c>
      <c r="D43" s="8" t="s">
        <v>16</v>
      </c>
      <c r="E43" s="4">
        <v>7750</v>
      </c>
      <c r="F43" s="5" t="s">
        <v>14</v>
      </c>
      <c r="G43" s="5">
        <f t="shared" si="1"/>
        <v>90416.666666666672</v>
      </c>
      <c r="H43" s="5">
        <v>140</v>
      </c>
      <c r="I43" s="7" t="s">
        <v>44</v>
      </c>
    </row>
    <row r="44" spans="2:9">
      <c r="B44" s="1" t="s">
        <v>62</v>
      </c>
      <c r="C44" s="8" t="s">
        <v>63</v>
      </c>
      <c r="D44" s="8" t="s">
        <v>16</v>
      </c>
      <c r="E44" s="4">
        <v>6290</v>
      </c>
      <c r="F44" s="5" t="s">
        <v>14</v>
      </c>
      <c r="G44" s="5">
        <f t="shared" si="1"/>
        <v>70762.5</v>
      </c>
      <c r="H44" s="5">
        <v>135</v>
      </c>
      <c r="I44" s="7" t="s">
        <v>44</v>
      </c>
    </row>
    <row r="45" spans="2:9">
      <c r="B45" s="1" t="s">
        <v>64</v>
      </c>
      <c r="C45" s="8" t="s">
        <v>24</v>
      </c>
      <c r="D45" s="8" t="s">
        <v>29</v>
      </c>
      <c r="E45" s="4">
        <v>5274</v>
      </c>
      <c r="F45" s="5" t="s">
        <v>17</v>
      </c>
      <c r="G45" s="5">
        <f t="shared" si="1"/>
        <v>56036.25</v>
      </c>
      <c r="H45" s="5">
        <v>127.5</v>
      </c>
      <c r="I45" s="7" t="s">
        <v>11</v>
      </c>
    </row>
    <row r="46" spans="2:9">
      <c r="B46" s="1" t="s">
        <v>81</v>
      </c>
      <c r="C46" s="8" t="s">
        <v>199</v>
      </c>
      <c r="D46" s="8" t="s">
        <v>16</v>
      </c>
      <c r="E46" s="4">
        <v>11689</v>
      </c>
      <c r="F46" s="8" t="s">
        <v>17</v>
      </c>
      <c r="G46" s="5">
        <f t="shared" ref="G46:G50" si="2">(H46*E46)/12</f>
        <v>185075.83333333334</v>
      </c>
      <c r="H46" s="5">
        <v>190</v>
      </c>
      <c r="I46" s="7" t="s">
        <v>21</v>
      </c>
    </row>
    <row r="47" spans="2:9">
      <c r="B47" s="1" t="s">
        <v>81</v>
      </c>
      <c r="C47" s="8" t="s">
        <v>160</v>
      </c>
      <c r="D47" s="8" t="s">
        <v>9</v>
      </c>
      <c r="E47" s="4">
        <v>6550</v>
      </c>
      <c r="F47" s="8" t="s">
        <v>67</v>
      </c>
      <c r="G47" s="5">
        <f t="shared" si="2"/>
        <v>90062.5</v>
      </c>
      <c r="H47" s="5">
        <v>165</v>
      </c>
      <c r="I47" s="7" t="s">
        <v>21</v>
      </c>
    </row>
    <row r="48" spans="2:9">
      <c r="B48" s="1" t="s">
        <v>81</v>
      </c>
      <c r="C48" s="8" t="s">
        <v>198</v>
      </c>
      <c r="D48" s="8" t="s">
        <v>9</v>
      </c>
      <c r="E48" s="4">
        <v>6256</v>
      </c>
      <c r="F48" s="8" t="s">
        <v>17</v>
      </c>
      <c r="G48" s="5">
        <f t="shared" si="2"/>
        <v>88626.666666666672</v>
      </c>
      <c r="H48" s="5">
        <v>170</v>
      </c>
      <c r="I48" s="7" t="s">
        <v>21</v>
      </c>
    </row>
    <row r="49" spans="2:9">
      <c r="B49" s="1" t="s">
        <v>81</v>
      </c>
      <c r="C49" s="8" t="s">
        <v>20</v>
      </c>
      <c r="D49" s="8" t="s">
        <v>16</v>
      </c>
      <c r="E49" s="4">
        <v>24484</v>
      </c>
      <c r="F49" s="8" t="s">
        <v>17</v>
      </c>
      <c r="G49" s="5">
        <f t="shared" si="2"/>
        <v>306050</v>
      </c>
      <c r="H49" s="5">
        <v>150</v>
      </c>
      <c r="I49" s="7" t="s">
        <v>21</v>
      </c>
    </row>
    <row r="50" spans="2:9">
      <c r="B50" s="1" t="s">
        <v>81</v>
      </c>
      <c r="C50" s="8" t="s">
        <v>197</v>
      </c>
      <c r="D50" s="8" t="s">
        <v>16</v>
      </c>
      <c r="E50" s="4">
        <v>8797</v>
      </c>
      <c r="F50" s="8" t="s">
        <v>17</v>
      </c>
      <c r="G50" s="5">
        <f t="shared" si="2"/>
        <v>109962.5</v>
      </c>
      <c r="H50" s="5">
        <v>150</v>
      </c>
      <c r="I50" s="7" t="s">
        <v>21</v>
      </c>
    </row>
    <row r="51" spans="2:9">
      <c r="B51" s="1" t="s">
        <v>202</v>
      </c>
      <c r="C51" s="8" t="s">
        <v>8</v>
      </c>
      <c r="D51" s="8" t="s">
        <v>9</v>
      </c>
      <c r="E51" s="4">
        <v>8320</v>
      </c>
      <c r="F51" s="5" t="s">
        <v>17</v>
      </c>
      <c r="G51" s="5">
        <f>(H51*E51)/12</f>
        <v>95333.333333333328</v>
      </c>
      <c r="H51" s="19">
        <v>137.5</v>
      </c>
      <c r="I51" s="7" t="s">
        <v>11</v>
      </c>
    </row>
    <row r="52" spans="2:9">
      <c r="B52" s="1" t="s">
        <v>202</v>
      </c>
      <c r="C52" s="8" t="s">
        <v>23</v>
      </c>
      <c r="D52" s="8" t="s">
        <v>9</v>
      </c>
      <c r="E52" s="4">
        <v>8302</v>
      </c>
      <c r="F52" s="5" t="s">
        <v>17</v>
      </c>
      <c r="G52" s="5">
        <f t="shared" ref="G52:G53" si="3">(H52*E52)/12</f>
        <v>91667.916666666672</v>
      </c>
      <c r="H52" s="19">
        <v>132.5</v>
      </c>
      <c r="I52" s="7" t="s">
        <v>11</v>
      </c>
    </row>
    <row r="53" spans="2:9">
      <c r="B53" s="1" t="s">
        <v>202</v>
      </c>
      <c r="C53" s="8" t="s">
        <v>13</v>
      </c>
      <c r="D53" s="8" t="s">
        <v>9</v>
      </c>
      <c r="E53" s="4">
        <v>6858</v>
      </c>
      <c r="F53" s="5" t="s">
        <v>14</v>
      </c>
      <c r="G53" s="5">
        <f t="shared" si="3"/>
        <v>74295</v>
      </c>
      <c r="H53" s="5">
        <v>130</v>
      </c>
      <c r="I53" s="7" t="s">
        <v>11</v>
      </c>
    </row>
    <row r="54" spans="2:9">
      <c r="B54" s="1" t="s">
        <v>22</v>
      </c>
      <c r="C54" s="8" t="s">
        <v>65</v>
      </c>
      <c r="D54" s="8" t="s">
        <v>29</v>
      </c>
      <c r="E54" s="4">
        <v>8479</v>
      </c>
      <c r="F54" s="5" t="s">
        <v>17</v>
      </c>
      <c r="G54" s="5">
        <f t="shared" ref="G54:G66" si="4">(H54*E54)/12</f>
        <v>162514.16666666666</v>
      </c>
      <c r="H54" s="5">
        <v>230</v>
      </c>
      <c r="I54" s="7" t="s">
        <v>11</v>
      </c>
    </row>
    <row r="55" spans="2:9">
      <c r="B55" s="1" t="s">
        <v>22</v>
      </c>
      <c r="C55" s="8" t="s">
        <v>247</v>
      </c>
      <c r="D55" s="8" t="s">
        <v>29</v>
      </c>
      <c r="E55" s="4">
        <v>8458</v>
      </c>
      <c r="F55" s="5" t="s">
        <v>17</v>
      </c>
      <c r="G55" s="5">
        <f t="shared" si="4"/>
        <v>162111.66666666666</v>
      </c>
      <c r="H55" s="5">
        <v>230</v>
      </c>
      <c r="I55" s="7" t="s">
        <v>11</v>
      </c>
    </row>
    <row r="56" spans="2:9">
      <c r="B56" s="9" t="s">
        <v>156</v>
      </c>
      <c r="C56" s="3" t="s">
        <v>19</v>
      </c>
      <c r="D56" s="3" t="s">
        <v>9</v>
      </c>
      <c r="E56" s="10">
        <v>8849</v>
      </c>
      <c r="F56" s="5" t="s">
        <v>17</v>
      </c>
      <c r="G56" s="5">
        <f t="shared" si="4"/>
        <v>121673.75</v>
      </c>
      <c r="H56" s="11">
        <v>165</v>
      </c>
      <c r="I56" s="7" t="s">
        <v>11</v>
      </c>
    </row>
    <row r="57" spans="2:9">
      <c r="B57" s="26" t="s">
        <v>255</v>
      </c>
      <c r="C57" s="27" t="s">
        <v>19</v>
      </c>
      <c r="D57" s="27" t="s">
        <v>16</v>
      </c>
      <c r="E57" s="28">
        <v>8939</v>
      </c>
      <c r="F57" s="24" t="s">
        <v>17</v>
      </c>
      <c r="G57" s="24">
        <f t="shared" si="4"/>
        <v>143396.45833333334</v>
      </c>
      <c r="H57" s="30">
        <v>192.5</v>
      </c>
      <c r="I57" s="25" t="s">
        <v>44</v>
      </c>
    </row>
    <row r="58" spans="2:9">
      <c r="B58" s="26" t="s">
        <v>255</v>
      </c>
      <c r="C58" s="27" t="s">
        <v>23</v>
      </c>
      <c r="D58" s="27" t="s">
        <v>16</v>
      </c>
      <c r="E58" s="28">
        <v>8935</v>
      </c>
      <c r="F58" s="24" t="s">
        <v>17</v>
      </c>
      <c r="G58" s="24">
        <f t="shared" si="4"/>
        <v>143332.29166666666</v>
      </c>
      <c r="H58" s="30">
        <v>192.5</v>
      </c>
      <c r="I58" s="25" t="s">
        <v>44</v>
      </c>
    </row>
    <row r="59" spans="2:9">
      <c r="B59" s="1" t="s">
        <v>158</v>
      </c>
      <c r="C59" s="8" t="s">
        <v>8</v>
      </c>
      <c r="D59" s="8" t="s">
        <v>159</v>
      </c>
      <c r="E59" s="4">
        <v>9847</v>
      </c>
      <c r="F59" s="5" t="s">
        <v>14</v>
      </c>
      <c r="G59" s="5">
        <f t="shared" si="4"/>
        <v>123087.5</v>
      </c>
      <c r="H59" s="5">
        <v>150</v>
      </c>
      <c r="I59" s="7" t="s">
        <v>11</v>
      </c>
    </row>
    <row r="60" spans="2:9">
      <c r="B60" s="1" t="s">
        <v>158</v>
      </c>
      <c r="C60" s="8" t="s">
        <v>13</v>
      </c>
      <c r="D60" s="8" t="s">
        <v>159</v>
      </c>
      <c r="E60" s="4">
        <v>9737</v>
      </c>
      <c r="F60" s="5" t="s">
        <v>14</v>
      </c>
      <c r="G60" s="5">
        <f t="shared" si="4"/>
        <v>125769.58333333333</v>
      </c>
      <c r="H60" s="5">
        <v>155</v>
      </c>
      <c r="I60" s="7" t="s">
        <v>11</v>
      </c>
    </row>
    <row r="61" spans="2:9">
      <c r="B61" s="1" t="s">
        <v>68</v>
      </c>
      <c r="C61" s="8" t="s">
        <v>19</v>
      </c>
      <c r="D61" s="8" t="s">
        <v>9</v>
      </c>
      <c r="E61" s="4">
        <v>11115</v>
      </c>
      <c r="F61" s="5" t="s">
        <v>17</v>
      </c>
      <c r="G61" s="5">
        <f t="shared" si="4"/>
        <v>152831.25</v>
      </c>
      <c r="H61" s="5">
        <v>165</v>
      </c>
      <c r="I61" s="7" t="s">
        <v>44</v>
      </c>
    </row>
    <row r="62" spans="2:9">
      <c r="B62" s="21" t="s">
        <v>254</v>
      </c>
      <c r="C62" s="22" t="s">
        <v>19</v>
      </c>
      <c r="D62" s="22" t="s">
        <v>9</v>
      </c>
      <c r="E62" s="23">
        <v>11685</v>
      </c>
      <c r="F62" s="24" t="s">
        <v>14</v>
      </c>
      <c r="G62" s="24">
        <f t="shared" si="4"/>
        <v>170406.25</v>
      </c>
      <c r="H62" s="24">
        <v>175</v>
      </c>
      <c r="I62" s="25" t="s">
        <v>44</v>
      </c>
    </row>
    <row r="63" spans="2:9">
      <c r="B63" s="21" t="s">
        <v>253</v>
      </c>
      <c r="C63" s="22" t="s">
        <v>23</v>
      </c>
      <c r="D63" s="22" t="s">
        <v>9</v>
      </c>
      <c r="E63" s="23">
        <v>12130</v>
      </c>
      <c r="F63" s="24" t="s">
        <v>14</v>
      </c>
      <c r="G63" s="24">
        <f t="shared" si="4"/>
        <v>141516.66666666666</v>
      </c>
      <c r="H63" s="24">
        <v>140</v>
      </c>
      <c r="I63" s="25" t="s">
        <v>44</v>
      </c>
    </row>
    <row r="64" spans="2:9">
      <c r="B64" s="1" t="s">
        <v>70</v>
      </c>
      <c r="C64" s="2" t="s">
        <v>71</v>
      </c>
      <c r="D64" s="3" t="s">
        <v>9</v>
      </c>
      <c r="E64" s="12">
        <v>13130</v>
      </c>
      <c r="F64" s="5" t="s">
        <v>14</v>
      </c>
      <c r="G64" s="5">
        <f t="shared" si="4"/>
        <v>207891.66666666666</v>
      </c>
      <c r="H64" s="6">
        <v>190</v>
      </c>
      <c r="I64" s="7" t="s">
        <v>44</v>
      </c>
    </row>
    <row r="65" spans="2:9">
      <c r="B65" s="1" t="s">
        <v>70</v>
      </c>
      <c r="C65" s="2" t="s">
        <v>66</v>
      </c>
      <c r="D65" s="3" t="s">
        <v>9</v>
      </c>
      <c r="E65" s="12">
        <v>12103</v>
      </c>
      <c r="F65" s="5" t="s">
        <v>14</v>
      </c>
      <c r="G65" s="5">
        <f t="shared" si="4"/>
        <v>191630.83333333334</v>
      </c>
      <c r="H65" s="6">
        <v>190</v>
      </c>
      <c r="I65" s="7" t="s">
        <v>44</v>
      </c>
    </row>
    <row r="66" spans="2:9">
      <c r="B66" s="1" t="s">
        <v>70</v>
      </c>
      <c r="C66" s="2" t="s">
        <v>72</v>
      </c>
      <c r="D66" s="3" t="s">
        <v>16</v>
      </c>
      <c r="E66" s="12">
        <v>11962</v>
      </c>
      <c r="F66" s="5" t="s">
        <v>14</v>
      </c>
      <c r="G66" s="5">
        <f t="shared" si="4"/>
        <v>186906.25</v>
      </c>
      <c r="H66" s="18">
        <v>187.5</v>
      </c>
      <c r="I66" s="7" t="s">
        <v>44</v>
      </c>
    </row>
    <row r="67" spans="2:9">
      <c r="B67" s="1" t="s">
        <v>70</v>
      </c>
      <c r="C67" s="2" t="s">
        <v>73</v>
      </c>
      <c r="D67" s="3" t="s">
        <v>16</v>
      </c>
      <c r="E67" s="12">
        <v>12877</v>
      </c>
      <c r="F67" s="5" t="s">
        <v>14</v>
      </c>
      <c r="G67" s="5">
        <f t="shared" ref="G67:G94" si="5">(H67*E67)/12</f>
        <v>201203.125</v>
      </c>
      <c r="H67" s="18">
        <v>187.5</v>
      </c>
      <c r="I67" s="7" t="s">
        <v>44</v>
      </c>
    </row>
    <row r="68" spans="2:9">
      <c r="B68" s="1" t="s">
        <v>74</v>
      </c>
      <c r="C68" s="2" t="s">
        <v>75</v>
      </c>
      <c r="D68" s="8" t="s">
        <v>9</v>
      </c>
      <c r="E68" s="4">
        <v>9722</v>
      </c>
      <c r="F68" s="5" t="s">
        <v>26</v>
      </c>
      <c r="G68" s="5">
        <f t="shared" si="5"/>
        <v>105321.66666666667</v>
      </c>
      <c r="H68" s="5">
        <v>130</v>
      </c>
      <c r="I68" s="7" t="s">
        <v>44</v>
      </c>
    </row>
    <row r="69" spans="2:9">
      <c r="B69" s="1" t="s">
        <v>74</v>
      </c>
      <c r="C69" s="2" t="s">
        <v>23</v>
      </c>
      <c r="D69" s="8" t="s">
        <v>29</v>
      </c>
      <c r="E69" s="4">
        <v>20503</v>
      </c>
      <c r="F69" s="5" t="s">
        <v>14</v>
      </c>
      <c r="G69" s="5">
        <f t="shared" si="5"/>
        <v>230658.75</v>
      </c>
      <c r="H69" s="5">
        <v>135</v>
      </c>
      <c r="I69" s="7" t="s">
        <v>44</v>
      </c>
    </row>
    <row r="70" spans="2:9">
      <c r="B70" s="1" t="s">
        <v>76</v>
      </c>
      <c r="C70" s="8" t="s">
        <v>77</v>
      </c>
      <c r="D70" s="8" t="s">
        <v>29</v>
      </c>
      <c r="E70" s="4">
        <v>22131</v>
      </c>
      <c r="F70" s="8" t="s">
        <v>14</v>
      </c>
      <c r="G70" s="5">
        <f t="shared" si="5"/>
        <v>304301.25</v>
      </c>
      <c r="H70" s="5">
        <v>165</v>
      </c>
      <c r="I70" s="13" t="s">
        <v>11</v>
      </c>
    </row>
    <row r="71" spans="2:9">
      <c r="B71" s="1" t="s">
        <v>78</v>
      </c>
      <c r="C71" s="8" t="s">
        <v>35</v>
      </c>
      <c r="D71" s="8" t="s">
        <v>29</v>
      </c>
      <c r="E71" s="4">
        <v>13460</v>
      </c>
      <c r="F71" s="8" t="s">
        <v>17</v>
      </c>
      <c r="G71" s="5">
        <f t="shared" si="5"/>
        <v>179466.66666666666</v>
      </c>
      <c r="H71" s="5">
        <v>160</v>
      </c>
      <c r="I71" s="13" t="s">
        <v>44</v>
      </c>
    </row>
    <row r="72" spans="2:9">
      <c r="B72" s="1" t="s">
        <v>78</v>
      </c>
      <c r="C72" s="8" t="s">
        <v>23</v>
      </c>
      <c r="D72" s="8" t="s">
        <v>9</v>
      </c>
      <c r="E72" s="4">
        <v>17027</v>
      </c>
      <c r="F72" s="8" t="s">
        <v>17</v>
      </c>
      <c r="G72" s="5">
        <f t="shared" si="5"/>
        <v>212837.5</v>
      </c>
      <c r="H72" s="19">
        <v>150</v>
      </c>
      <c r="I72" s="13" t="s">
        <v>44</v>
      </c>
    </row>
    <row r="73" spans="2:9">
      <c r="B73" s="1" t="s">
        <v>172</v>
      </c>
      <c r="C73" s="8" t="s">
        <v>162</v>
      </c>
      <c r="D73" s="8" t="s">
        <v>170</v>
      </c>
      <c r="E73" s="4">
        <v>15334</v>
      </c>
      <c r="F73" s="8" t="s">
        <v>17</v>
      </c>
      <c r="G73" s="5">
        <f t="shared" si="5"/>
        <v>146950.83333333334</v>
      </c>
      <c r="H73" s="19">
        <v>115</v>
      </c>
      <c r="I73" s="13" t="s">
        <v>44</v>
      </c>
    </row>
    <row r="74" spans="2:9">
      <c r="B74" s="1" t="s">
        <v>79</v>
      </c>
      <c r="C74" s="8" t="s">
        <v>8</v>
      </c>
      <c r="D74" s="8" t="s">
        <v>9</v>
      </c>
      <c r="E74" s="4">
        <v>11176</v>
      </c>
      <c r="F74" s="8" t="s">
        <v>14</v>
      </c>
      <c r="G74" s="5">
        <f t="shared" si="5"/>
        <v>139700</v>
      </c>
      <c r="H74" s="19">
        <v>150</v>
      </c>
      <c r="I74" s="13" t="s">
        <v>44</v>
      </c>
    </row>
    <row r="75" spans="2:9">
      <c r="B75" s="1" t="s">
        <v>79</v>
      </c>
      <c r="C75" s="8" t="s">
        <v>35</v>
      </c>
      <c r="D75" s="8" t="s">
        <v>16</v>
      </c>
      <c r="E75" s="4">
        <v>13309</v>
      </c>
      <c r="F75" s="8" t="s">
        <v>17</v>
      </c>
      <c r="G75" s="5">
        <f t="shared" si="5"/>
        <v>171907.91666666666</v>
      </c>
      <c r="H75" s="5">
        <v>155</v>
      </c>
      <c r="I75" s="13" t="s">
        <v>44</v>
      </c>
    </row>
    <row r="76" spans="2:9">
      <c r="B76" s="1" t="s">
        <v>79</v>
      </c>
      <c r="C76" s="8" t="s">
        <v>24</v>
      </c>
      <c r="D76" s="8" t="s">
        <v>16</v>
      </c>
      <c r="E76" s="4">
        <v>7720</v>
      </c>
      <c r="F76" s="8" t="s">
        <v>17</v>
      </c>
      <c r="G76" s="5">
        <f t="shared" si="5"/>
        <v>82025</v>
      </c>
      <c r="H76" s="19">
        <v>127.5</v>
      </c>
      <c r="I76" s="13" t="s">
        <v>44</v>
      </c>
    </row>
    <row r="77" spans="2:9">
      <c r="B77" s="1" t="s">
        <v>80</v>
      </c>
      <c r="C77" s="2" t="s">
        <v>198</v>
      </c>
      <c r="D77" s="8" t="s">
        <v>9</v>
      </c>
      <c r="E77" s="4">
        <v>7600</v>
      </c>
      <c r="F77" s="5" t="s">
        <v>14</v>
      </c>
      <c r="G77" s="5">
        <f t="shared" si="5"/>
        <v>79166.666666666672</v>
      </c>
      <c r="H77" s="5">
        <v>125</v>
      </c>
      <c r="I77" s="13" t="s">
        <v>44</v>
      </c>
    </row>
    <row r="78" spans="2:9">
      <c r="B78" s="1" t="s">
        <v>80</v>
      </c>
      <c r="C78" s="2" t="s">
        <v>238</v>
      </c>
      <c r="D78" s="8" t="s">
        <v>9</v>
      </c>
      <c r="E78" s="4">
        <v>7600</v>
      </c>
      <c r="F78" s="5" t="s">
        <v>14</v>
      </c>
      <c r="G78" s="5">
        <f t="shared" si="5"/>
        <v>79166.666666666672</v>
      </c>
      <c r="H78" s="5">
        <v>125</v>
      </c>
      <c r="I78" s="13" t="s">
        <v>44</v>
      </c>
    </row>
    <row r="79" spans="2:9">
      <c r="B79" s="1" t="s">
        <v>80</v>
      </c>
      <c r="C79" s="8" t="s">
        <v>20</v>
      </c>
      <c r="D79" s="8" t="s">
        <v>9</v>
      </c>
      <c r="E79" s="4">
        <v>15607</v>
      </c>
      <c r="F79" s="8" t="s">
        <v>14</v>
      </c>
      <c r="G79" s="5">
        <f t="shared" si="5"/>
        <v>162572.91666666666</v>
      </c>
      <c r="H79" s="5">
        <v>125</v>
      </c>
      <c r="I79" s="13" t="s">
        <v>44</v>
      </c>
    </row>
    <row r="80" spans="2:9">
      <c r="B80" s="1" t="s">
        <v>183</v>
      </c>
      <c r="C80" s="8" t="s">
        <v>42</v>
      </c>
      <c r="D80" s="8" t="s">
        <v>9</v>
      </c>
      <c r="E80" s="4">
        <v>14473</v>
      </c>
      <c r="F80" s="8" t="s">
        <v>196</v>
      </c>
      <c r="G80" s="5">
        <f t="shared" si="5"/>
        <v>199003.75</v>
      </c>
      <c r="H80" s="5">
        <v>165</v>
      </c>
      <c r="I80" s="7" t="s">
        <v>44</v>
      </c>
    </row>
    <row r="81" spans="2:9">
      <c r="B81" s="1" t="s">
        <v>82</v>
      </c>
      <c r="C81" s="8" t="s">
        <v>20</v>
      </c>
      <c r="D81" s="8" t="s">
        <v>16</v>
      </c>
      <c r="E81" s="4">
        <v>18638</v>
      </c>
      <c r="F81" s="8" t="s">
        <v>14</v>
      </c>
      <c r="G81" s="5">
        <f t="shared" si="5"/>
        <v>225209.16666666666</v>
      </c>
      <c r="H81" s="5">
        <v>145</v>
      </c>
      <c r="I81" s="7" t="s">
        <v>44</v>
      </c>
    </row>
    <row r="82" spans="2:9">
      <c r="B82" s="1" t="s">
        <v>82</v>
      </c>
      <c r="C82" s="8" t="s">
        <v>13</v>
      </c>
      <c r="D82" s="8" t="s">
        <v>16</v>
      </c>
      <c r="E82" s="4">
        <v>20194</v>
      </c>
      <c r="F82" s="8" t="s">
        <v>14</v>
      </c>
      <c r="G82" s="5">
        <f t="shared" si="5"/>
        <v>227182.5</v>
      </c>
      <c r="H82" s="5">
        <v>135</v>
      </c>
      <c r="I82" s="7" t="s">
        <v>44</v>
      </c>
    </row>
    <row r="83" spans="2:9">
      <c r="B83" s="1" t="s">
        <v>82</v>
      </c>
      <c r="C83" s="8" t="s">
        <v>24</v>
      </c>
      <c r="D83" s="8" t="s">
        <v>16</v>
      </c>
      <c r="E83" s="4">
        <v>15925</v>
      </c>
      <c r="F83" s="8" t="s">
        <v>14</v>
      </c>
      <c r="G83" s="5">
        <f t="shared" si="5"/>
        <v>165885.41666666666</v>
      </c>
      <c r="H83" s="5">
        <v>125</v>
      </c>
      <c r="I83" s="7" t="s">
        <v>44</v>
      </c>
    </row>
    <row r="84" spans="2:9">
      <c r="B84" s="1" t="s">
        <v>82</v>
      </c>
      <c r="C84" s="8" t="s">
        <v>83</v>
      </c>
      <c r="D84" s="8" t="s">
        <v>16</v>
      </c>
      <c r="E84" s="4">
        <v>11817</v>
      </c>
      <c r="F84" s="8" t="s">
        <v>14</v>
      </c>
      <c r="G84" s="5">
        <f t="shared" si="5"/>
        <v>113246.25</v>
      </c>
      <c r="H84" s="5">
        <v>115</v>
      </c>
      <c r="I84" s="7" t="s">
        <v>44</v>
      </c>
    </row>
    <row r="85" spans="2:9">
      <c r="B85" s="1" t="s">
        <v>52</v>
      </c>
      <c r="C85" s="8" t="s">
        <v>13</v>
      </c>
      <c r="D85" s="8" t="s">
        <v>237</v>
      </c>
      <c r="E85" s="4">
        <v>15348</v>
      </c>
      <c r="F85" s="8" t="s">
        <v>14</v>
      </c>
      <c r="G85" s="5">
        <f t="shared" si="5"/>
        <v>166270</v>
      </c>
      <c r="H85" s="5">
        <v>130</v>
      </c>
      <c r="I85" s="7" t="s">
        <v>44</v>
      </c>
    </row>
    <row r="86" spans="2:9">
      <c r="B86" s="1" t="s">
        <v>225</v>
      </c>
      <c r="C86" s="8" t="s">
        <v>23</v>
      </c>
      <c r="D86" s="8" t="s">
        <v>9</v>
      </c>
      <c r="E86" s="4">
        <v>14500</v>
      </c>
      <c r="F86" s="8" t="s">
        <v>14</v>
      </c>
      <c r="G86" s="5">
        <f t="shared" si="5"/>
        <v>126875</v>
      </c>
      <c r="H86" s="5">
        <v>105</v>
      </c>
      <c r="I86" s="7" t="s">
        <v>44</v>
      </c>
    </row>
    <row r="87" spans="2:9">
      <c r="B87" s="1" t="s">
        <v>224</v>
      </c>
      <c r="C87" s="8" t="s">
        <v>8</v>
      </c>
      <c r="D87" s="8" t="s">
        <v>16</v>
      </c>
      <c r="E87" s="4">
        <v>14578</v>
      </c>
      <c r="F87" s="8" t="s">
        <v>17</v>
      </c>
      <c r="G87" s="5">
        <f t="shared" si="5"/>
        <v>188299.16666666666</v>
      </c>
      <c r="H87" s="5">
        <v>155</v>
      </c>
      <c r="I87" s="7" t="s">
        <v>44</v>
      </c>
    </row>
    <row r="88" spans="2:9">
      <c r="B88" s="1" t="s">
        <v>224</v>
      </c>
      <c r="C88" s="8" t="s">
        <v>35</v>
      </c>
      <c r="D88" s="8" t="s">
        <v>16</v>
      </c>
      <c r="E88" s="4">
        <v>19351</v>
      </c>
      <c r="F88" s="8" t="s">
        <v>17</v>
      </c>
      <c r="G88" s="5">
        <f t="shared" si="5"/>
        <v>249950.41666666666</v>
      </c>
      <c r="H88" s="5">
        <v>155</v>
      </c>
      <c r="I88" s="7" t="s">
        <v>44</v>
      </c>
    </row>
    <row r="89" spans="2:9">
      <c r="B89" s="1" t="s">
        <v>224</v>
      </c>
      <c r="C89" s="8" t="s">
        <v>19</v>
      </c>
      <c r="D89" s="8" t="s">
        <v>16</v>
      </c>
      <c r="E89" s="4">
        <v>20871</v>
      </c>
      <c r="F89" s="8" t="s">
        <v>17</v>
      </c>
      <c r="G89" s="5">
        <f t="shared" si="5"/>
        <v>269583.75</v>
      </c>
      <c r="H89" s="5">
        <v>155</v>
      </c>
      <c r="I89" s="7" t="s">
        <v>44</v>
      </c>
    </row>
    <row r="90" spans="2:9">
      <c r="B90" s="1" t="s">
        <v>224</v>
      </c>
      <c r="C90" s="8" t="s">
        <v>23</v>
      </c>
      <c r="D90" s="8" t="s">
        <v>16</v>
      </c>
      <c r="E90" s="4">
        <v>21056</v>
      </c>
      <c r="F90" s="8" t="s">
        <v>17</v>
      </c>
      <c r="G90" s="5">
        <f t="shared" si="5"/>
        <v>271973.33333333331</v>
      </c>
      <c r="H90" s="5">
        <v>155</v>
      </c>
      <c r="I90" s="7" t="s">
        <v>44</v>
      </c>
    </row>
    <row r="91" spans="2:9">
      <c r="B91" s="1" t="s">
        <v>224</v>
      </c>
      <c r="C91" s="8" t="s">
        <v>20</v>
      </c>
      <c r="D91" s="8" t="s">
        <v>16</v>
      </c>
      <c r="E91" s="4">
        <v>19614</v>
      </c>
      <c r="F91" s="8" t="s">
        <v>17</v>
      </c>
      <c r="G91" s="5">
        <f t="shared" si="5"/>
        <v>253347.5</v>
      </c>
      <c r="H91" s="5">
        <v>155</v>
      </c>
      <c r="I91" s="7" t="s">
        <v>44</v>
      </c>
    </row>
    <row r="92" spans="2:9">
      <c r="B92" s="1" t="s">
        <v>224</v>
      </c>
      <c r="C92" s="8" t="s">
        <v>13</v>
      </c>
      <c r="D92" s="8" t="s">
        <v>16</v>
      </c>
      <c r="E92" s="4">
        <v>14698</v>
      </c>
      <c r="F92" s="8" t="s">
        <v>17</v>
      </c>
      <c r="G92" s="5">
        <f t="shared" si="5"/>
        <v>189849.16666666666</v>
      </c>
      <c r="H92" s="5">
        <v>155</v>
      </c>
      <c r="I92" s="7" t="s">
        <v>44</v>
      </c>
    </row>
    <row r="93" spans="2:9">
      <c r="B93" s="1" t="s">
        <v>226</v>
      </c>
      <c r="C93" s="8" t="s">
        <v>23</v>
      </c>
      <c r="D93" s="8" t="s">
        <v>9</v>
      </c>
      <c r="E93" s="4">
        <v>15000</v>
      </c>
      <c r="F93" s="8" t="s">
        <v>14</v>
      </c>
      <c r="G93" s="5">
        <f t="shared" si="5"/>
        <v>200000</v>
      </c>
      <c r="H93" s="5">
        <v>160</v>
      </c>
      <c r="I93" s="7" t="s">
        <v>44</v>
      </c>
    </row>
    <row r="94" spans="2:9">
      <c r="B94" s="1" t="s">
        <v>227</v>
      </c>
      <c r="C94" s="8" t="s">
        <v>35</v>
      </c>
      <c r="D94" s="8" t="s">
        <v>9</v>
      </c>
      <c r="E94" s="4">
        <v>14709</v>
      </c>
      <c r="F94" s="8" t="s">
        <v>14</v>
      </c>
      <c r="G94" s="5">
        <f t="shared" si="5"/>
        <v>186926.875</v>
      </c>
      <c r="H94" s="19">
        <v>152.5</v>
      </c>
      <c r="I94" s="7" t="s">
        <v>44</v>
      </c>
    </row>
  </sheetData>
  <phoneticPr fontId="4" type="noConversion"/>
  <hyperlinks>
    <hyperlink ref="I54" r:id="rId1" display="HERE" xr:uid="{4AA03366-4682-EF46-AA3F-A14F3675C19C}"/>
    <hyperlink ref="I5" r:id="rId2" xr:uid="{B4EEC4CE-8990-1B44-93DD-2A003DB5BFB3}"/>
    <hyperlink ref="I70" r:id="rId3" xr:uid="{092AA9C6-6284-F44B-BF21-109BB801AE94}"/>
    <hyperlink ref="I43" r:id="rId4" xr:uid="{8598731F-69E5-854B-8F5A-C70D2611EC43}"/>
    <hyperlink ref="I44" r:id="rId5" xr:uid="{1CFF42AA-2397-A948-836B-F57E95528B77}"/>
    <hyperlink ref="I42" r:id="rId6" xr:uid="{D0249E2F-3D55-D54A-892C-67A7F1FA3CEA}"/>
    <hyperlink ref="I14" r:id="rId7" xr:uid="{72436A62-78F1-114D-9878-43C9FD08B380}"/>
    <hyperlink ref="I23" r:id="rId8" xr:uid="{30277731-5A13-4647-B497-5B4A5F61221C}"/>
    <hyperlink ref="I61" r:id="rId9" xr:uid="{8730CD79-FCF9-D949-8A3F-0D575198CE0A}"/>
    <hyperlink ref="I12" r:id="rId10" xr:uid="{95628DF6-8AF6-E34D-B91B-B69E22156C44}"/>
    <hyperlink ref="I13" r:id="rId11" xr:uid="{0BE89FFA-3736-8D46-823C-91AED4432F1C}"/>
    <hyperlink ref="I75" r:id="rId12" xr:uid="{E04961E9-EB7F-B948-899F-DB7EB236608A}"/>
    <hyperlink ref="I76" r:id="rId13" xr:uid="{6FDD9D11-7DCB-A04F-9279-3895D5DB8A98}"/>
    <hyperlink ref="I79" r:id="rId14" xr:uid="{6B082663-B858-DD40-8C25-3C03AD00A4B0}"/>
    <hyperlink ref="I71" r:id="rId15" xr:uid="{B6078DEA-22A3-7847-AB72-C037325D5E4A}"/>
    <hyperlink ref="I72" r:id="rId16" xr:uid="{3BF996B4-2634-C84E-9E1F-8817A46FD996}"/>
    <hyperlink ref="I45" r:id="rId17" xr:uid="{109C6E4C-529B-2047-8030-A7D7FF5D0A19}"/>
    <hyperlink ref="I68" r:id="rId18" xr:uid="{7DA12954-03B2-AB49-9A5F-C624F6D0AE47}"/>
    <hyperlink ref="I64" r:id="rId19" xr:uid="{107A97B1-7DD8-6843-83CD-467DF07F4EEF}"/>
    <hyperlink ref="I65:I67" r:id="rId20" display="Landlord Brochure" xr:uid="{C04135F3-4D7A-C444-95D8-CFBCC1A3DA9A}"/>
    <hyperlink ref="I38" r:id="rId21" xr:uid="{DF39C9C2-B07A-AB46-A315-2CE9DD60ABE9}"/>
    <hyperlink ref="I41" r:id="rId22" xr:uid="{4C51F4A7-4B5F-AE43-A33B-8CB4DA4CDE53}"/>
    <hyperlink ref="I56" r:id="rId23" xr:uid="{D1878988-6E7E-CF49-8DDF-B1CBD18FCA00}"/>
    <hyperlink ref="I35" r:id="rId24" xr:uid="{22700831-90AB-3546-ADC1-DC49F011841A}"/>
    <hyperlink ref="I36" r:id="rId25" xr:uid="{6778FA17-A9A5-0847-A7B6-9BECD2DD14A0}"/>
    <hyperlink ref="I37" r:id="rId26" xr:uid="{98F8898B-592D-D94C-A01E-1F03F8782346}"/>
    <hyperlink ref="I69" r:id="rId27" xr:uid="{9E5A9B20-4784-C64A-82B0-441BBBBEE751}"/>
    <hyperlink ref="I25" r:id="rId28" xr:uid="{393F4D03-E1D5-494D-A647-9635986206F2}"/>
    <hyperlink ref="I80" r:id="rId29" xr:uid="{50E16C3D-85F7-E040-B177-129ACA413406}"/>
    <hyperlink ref="I73" r:id="rId30" xr:uid="{AB214CFF-F39A-D444-9E74-11D74B9EFCE7}"/>
    <hyperlink ref="I30" r:id="rId31" xr:uid="{BB2D63D3-AEB2-CF4B-B196-1DDED5798628}"/>
    <hyperlink ref="I18" r:id="rId32" xr:uid="{0A7AEB34-724B-544E-8FCE-02DAB49E1CBA}"/>
    <hyperlink ref="I16" r:id="rId33" xr:uid="{88C86CBD-8D58-6A40-82BC-2E6290BF1DA8}"/>
    <hyperlink ref="I81" r:id="rId34" xr:uid="{2AC64BF4-1929-F441-9C6F-FB61742F4CE8}"/>
    <hyperlink ref="I82" r:id="rId35" xr:uid="{887367B2-4983-7C49-A9FD-75B5114BE470}"/>
    <hyperlink ref="I83" r:id="rId36" xr:uid="{27A8F4BF-A87B-454C-8F95-FD8AF9E46D47}"/>
    <hyperlink ref="I84" r:id="rId37" xr:uid="{E6312A27-9185-E34B-9111-D49461793949}"/>
    <hyperlink ref="I6" r:id="rId38" xr:uid="{C72FDC30-0A59-364A-9FB5-FCB8B61CAD47}"/>
    <hyperlink ref="I59" r:id="rId39" xr:uid="{9ABFAA4B-5212-764C-BCAC-AD1A05820D02}"/>
    <hyperlink ref="I60" r:id="rId40" xr:uid="{0A06C5CE-7EC0-904C-B797-2EBE1029C997}"/>
    <hyperlink ref="I40" r:id="rId41" xr:uid="{AD54B093-AAB6-024B-8CAA-869007B88B70}"/>
    <hyperlink ref="I51" r:id="rId42" xr:uid="{994D3CF2-3D6B-844F-A2B5-03113CC31CC9}"/>
    <hyperlink ref="I39" r:id="rId43" xr:uid="{6E7C5A39-C762-5545-9F67-C276B72D80BD}"/>
    <hyperlink ref="I28" r:id="rId44" xr:uid="{B099218E-1A7F-AC48-8890-7DCE78B45557}"/>
    <hyperlink ref="I29" r:id="rId45" xr:uid="{71E2FD78-63DF-1341-ABA7-2FF2C3C2F94D}"/>
    <hyperlink ref="I85" r:id="rId46" display="CLICK HERE" xr:uid="{2BE8DE91-1566-0949-A16B-F74332540972}"/>
    <hyperlink ref="I52" r:id="rId47" xr:uid="{7499D474-1AC6-3747-A8B7-E971A432E8C8}"/>
    <hyperlink ref="I53" r:id="rId48" xr:uid="{1914CA9C-2D76-1C4D-8995-0ED1E7D11E79}"/>
    <hyperlink ref="I19" r:id="rId49" xr:uid="{B22D599F-8309-6D43-9E5D-89F3A1D99DF2}"/>
    <hyperlink ref="I33" r:id="rId50" xr:uid="{67A489E0-B15D-B642-AC75-7A99101F3943}"/>
    <hyperlink ref="I32" r:id="rId51" xr:uid="{0441FBDB-2711-FD4C-A9A9-771D23B7BE84}"/>
    <hyperlink ref="I10" r:id="rId52" xr:uid="{EE1D62A6-1FA5-4E47-B3C8-29BBA6C96F9D}"/>
    <hyperlink ref="I8" r:id="rId53" xr:uid="{22886D6F-B21F-1449-B97F-0A290745C412}"/>
    <hyperlink ref="I26" r:id="rId54" xr:uid="{D7399162-E6D6-9C48-91C6-21FA0FA5A9CA}"/>
    <hyperlink ref="I87" r:id="rId55" xr:uid="{6EA77C80-0177-6F49-962F-8F00D7AC3F17}"/>
    <hyperlink ref="I88:I92" r:id="rId56" display="Landlord Brochure" xr:uid="{1AD80D03-9F49-1444-8A63-54DBCD8FEF5D}"/>
    <hyperlink ref="I86" r:id="rId57" xr:uid="{F5357EB4-D490-4E4B-B7B8-E32CF60EBFAD}"/>
    <hyperlink ref="I93" r:id="rId58" xr:uid="{26271926-0F1B-8A45-8329-765356245B12}"/>
    <hyperlink ref="I94" r:id="rId59" xr:uid="{1EEFA027-56EA-3F44-845B-CB1D5E2A754D}"/>
    <hyperlink ref="I22" r:id="rId60" xr:uid="{1215402F-DDC4-244C-9A77-94AFCCBC7368}"/>
    <hyperlink ref="I46" r:id="rId61" xr:uid="{92275F7B-3DDD-AF45-AE7C-3991BFAB7C77}"/>
    <hyperlink ref="I47" r:id="rId62" xr:uid="{AFB48822-8AEA-7447-9FF3-F99EEBA3E34A}"/>
    <hyperlink ref="I48" r:id="rId63" xr:uid="{FC718790-8C87-9F41-8B16-AD555A14B456}"/>
    <hyperlink ref="I50" r:id="rId64" xr:uid="{BBFBCEDD-E312-3342-9C51-C0F22FDB7E8B}"/>
    <hyperlink ref="I49" r:id="rId65" xr:uid="{569CDE3C-BA90-4342-BF6A-DE2AB9ACC104}"/>
    <hyperlink ref="I17" r:id="rId66" xr:uid="{CF2916DD-E0B6-224D-8E3F-68612A662881}"/>
    <hyperlink ref="I7" r:id="rId67" xr:uid="{15EE890A-A483-9344-85E9-DFC2557599C3}"/>
    <hyperlink ref="I27" r:id="rId68" xr:uid="{B2743720-8730-1346-A3D3-71B7723523ED}"/>
    <hyperlink ref="I24" r:id="rId69" xr:uid="{93AAF0BE-39E6-E44F-8F94-7D23BE236499}"/>
    <hyperlink ref="I55" r:id="rId70" display="HERE" xr:uid="{A2F8D553-D1D8-6140-8644-B8C8B363458F}"/>
    <hyperlink ref="I9" r:id="rId71" xr:uid="{DFD98F07-88C5-8D4E-BB5B-DA5A6913A3B8}"/>
    <hyperlink ref="I11" r:id="rId72" xr:uid="{B84827D4-9AFA-5347-9F7A-E147938900F0}"/>
    <hyperlink ref="I77" r:id="rId73" xr:uid="{9C216023-797F-8444-ACFA-2BA72B6EDBEF}"/>
    <hyperlink ref="I78" r:id="rId74" xr:uid="{02168A8C-B56B-FD43-8FA7-CAC25AEF7155}"/>
    <hyperlink ref="I20" r:id="rId75" xr:uid="{CF876B28-7495-A446-9885-D32EC860EFDE}"/>
    <hyperlink ref="I21" r:id="rId76" xr:uid="{B2E88E35-A23F-9645-8929-37535E7D2DCE}"/>
    <hyperlink ref="I15" r:id="rId77" xr:uid="{04322DF5-6EA0-5A4F-B9AE-BA3031537EE7}"/>
    <hyperlink ref="I63" r:id="rId78" xr:uid="{221991FE-69F2-EA4D-90A3-DD08AD7EC89F}"/>
    <hyperlink ref="I62" r:id="rId79" xr:uid="{0DE65657-6C69-1441-882D-ADAD07ECC7ED}"/>
    <hyperlink ref="I57" r:id="rId80" xr:uid="{90BA5AED-F269-1F45-A70F-3C5C0645D58F}"/>
    <hyperlink ref="I58" r:id="rId81" xr:uid="{702411DC-A71F-3240-99A1-19387E8CC02D}"/>
    <hyperlink ref="I74" r:id="rId82" xr:uid="{31BF6749-8516-864A-A24E-D3A5DC32DB11}"/>
    <hyperlink ref="I34" r:id="rId83" xr:uid="{C4A2404D-2297-0B4B-AD51-0A03C73EEF01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493C-B014-444F-A4E9-9F797FAE6C0D}">
  <dimension ref="B1:I8"/>
  <sheetViews>
    <sheetView zoomScale="124" zoomScaleNormal="124" workbookViewId="0">
      <selection activeCell="K1" sqref="K1:M1048576"/>
    </sheetView>
  </sheetViews>
  <sheetFormatPr defaultColWidth="8.77734375" defaultRowHeight="14.4"/>
  <cols>
    <col min="2" max="2" width="50.33203125" customWidth="1"/>
    <col min="3" max="3" width="21.33203125" customWidth="1"/>
    <col min="4" max="4" width="18.77734375" customWidth="1"/>
    <col min="5" max="5" width="17.33203125" customWidth="1"/>
    <col min="6" max="6" width="18" customWidth="1"/>
    <col min="7" max="7" width="19.44140625" customWidth="1"/>
    <col min="8" max="8" width="18.44140625" customWidth="1"/>
    <col min="9" max="9" width="14.44140625" customWidth="1"/>
  </cols>
  <sheetData>
    <row r="1" spans="2:9" ht="17.399999999999999">
      <c r="B1" s="14" t="s">
        <v>84</v>
      </c>
      <c r="C1" s="15" t="s">
        <v>1</v>
      </c>
      <c r="D1" s="15" t="s">
        <v>28</v>
      </c>
      <c r="E1" s="15" t="s">
        <v>85</v>
      </c>
      <c r="F1" s="15" t="s">
        <v>86</v>
      </c>
      <c r="G1" s="15" t="s">
        <v>87</v>
      </c>
      <c r="H1" s="15" t="s">
        <v>88</v>
      </c>
      <c r="I1" s="15" t="s">
        <v>7</v>
      </c>
    </row>
    <row r="2" spans="2:9">
      <c r="B2" s="1" t="s">
        <v>89</v>
      </c>
      <c r="C2" s="8" t="s">
        <v>41</v>
      </c>
      <c r="D2" s="8" t="s">
        <v>9</v>
      </c>
      <c r="E2" s="4">
        <v>9601</v>
      </c>
      <c r="F2" s="5" t="s">
        <v>14</v>
      </c>
      <c r="G2" s="5">
        <f>(H2*E2)/12</f>
        <v>104010.83333333333</v>
      </c>
      <c r="H2" s="5">
        <v>130</v>
      </c>
      <c r="I2" s="7" t="s">
        <v>44</v>
      </c>
    </row>
    <row r="3" spans="2:9">
      <c r="B3" s="1" t="s">
        <v>200</v>
      </c>
      <c r="C3" s="8" t="s">
        <v>8</v>
      </c>
      <c r="D3" s="8" t="s">
        <v>9</v>
      </c>
      <c r="E3" s="4">
        <v>10726</v>
      </c>
      <c r="F3" s="5" t="s">
        <v>14</v>
      </c>
      <c r="G3" s="5">
        <f>(H3*E3)/12</f>
        <v>120667.5</v>
      </c>
      <c r="H3" s="5">
        <v>135</v>
      </c>
      <c r="I3" s="7" t="s">
        <v>44</v>
      </c>
    </row>
    <row r="4" spans="2:9">
      <c r="B4" s="1" t="s">
        <v>74</v>
      </c>
      <c r="C4" s="2" t="s">
        <v>75</v>
      </c>
      <c r="D4" s="8" t="s">
        <v>9</v>
      </c>
      <c r="E4" s="4">
        <v>9722</v>
      </c>
      <c r="F4" s="5" t="s">
        <v>26</v>
      </c>
      <c r="G4" s="5">
        <f t="shared" ref="G4:G8" si="0">(H4*E4)/12</f>
        <v>113423.33333333333</v>
      </c>
      <c r="H4" s="5">
        <v>140</v>
      </c>
      <c r="I4" s="7" t="s">
        <v>44</v>
      </c>
    </row>
    <row r="5" spans="2:9">
      <c r="B5" s="1" t="s">
        <v>74</v>
      </c>
      <c r="C5" s="2" t="s">
        <v>23</v>
      </c>
      <c r="D5" s="8" t="s">
        <v>16</v>
      </c>
      <c r="E5" s="4">
        <v>20503</v>
      </c>
      <c r="F5" s="5" t="s">
        <v>14</v>
      </c>
      <c r="G5" s="5">
        <f t="shared" si="0"/>
        <v>239201.66666666666</v>
      </c>
      <c r="H5" s="5">
        <v>140</v>
      </c>
      <c r="I5" s="7" t="s">
        <v>44</v>
      </c>
    </row>
    <row r="6" spans="2:9">
      <c r="B6" s="1" t="s">
        <v>80</v>
      </c>
      <c r="C6" s="2" t="s">
        <v>198</v>
      </c>
      <c r="D6" s="8" t="s">
        <v>9</v>
      </c>
      <c r="E6" s="4">
        <v>7600</v>
      </c>
      <c r="F6" s="5" t="s">
        <v>14</v>
      </c>
      <c r="G6" s="5">
        <f t="shared" si="0"/>
        <v>79166.666666666672</v>
      </c>
      <c r="H6" s="5">
        <v>125</v>
      </c>
      <c r="I6" s="13" t="s">
        <v>44</v>
      </c>
    </row>
    <row r="7" spans="2:9">
      <c r="B7" s="1" t="s">
        <v>80</v>
      </c>
      <c r="C7" s="2" t="s">
        <v>238</v>
      </c>
      <c r="D7" s="8" t="s">
        <v>9</v>
      </c>
      <c r="E7" s="4">
        <v>7600</v>
      </c>
      <c r="F7" s="5" t="s">
        <v>14</v>
      </c>
      <c r="G7" s="5">
        <f t="shared" ref="G7" si="1">(H7*E7)/12</f>
        <v>79166.666666666672</v>
      </c>
      <c r="H7" s="5">
        <v>125</v>
      </c>
      <c r="I7" s="13" t="s">
        <v>44</v>
      </c>
    </row>
    <row r="8" spans="2:9">
      <c r="B8" s="1" t="s">
        <v>80</v>
      </c>
      <c r="C8" s="8" t="s">
        <v>20</v>
      </c>
      <c r="D8" s="8" t="s">
        <v>9</v>
      </c>
      <c r="E8" s="4">
        <v>15607</v>
      </c>
      <c r="F8" s="8" t="s">
        <v>14</v>
      </c>
      <c r="G8" s="5">
        <f t="shared" si="0"/>
        <v>162572.91666666666</v>
      </c>
      <c r="H8" s="5">
        <v>125</v>
      </c>
      <c r="I8" s="13" t="s">
        <v>44</v>
      </c>
    </row>
  </sheetData>
  <hyperlinks>
    <hyperlink ref="I2" r:id="rId1" xr:uid="{8DAA9E51-64EB-D54B-8E10-DF638E3D37CF}"/>
    <hyperlink ref="I8" r:id="rId2" xr:uid="{0DE2FE6C-ED43-3949-ACE7-1E00FF0E70E9}"/>
    <hyperlink ref="I6" r:id="rId3" xr:uid="{52E7BC3A-D94E-2F4E-BB34-418474BA1115}"/>
    <hyperlink ref="I3" r:id="rId4" xr:uid="{1B9503D1-1AE1-C449-8F21-D0045640F9B3}"/>
    <hyperlink ref="I5" r:id="rId5" xr:uid="{C829C024-E33C-1749-A6DA-F9CA7A235036}"/>
    <hyperlink ref="I4" r:id="rId6" xr:uid="{55217C6D-A7AD-E94A-85BA-B76C01FA8306}"/>
    <hyperlink ref="I7" r:id="rId7" xr:uid="{BC5E5133-CE3C-C54D-8674-9C22653641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6A3C-7CF3-4690-A544-307DF2578E5E}">
  <dimension ref="B1:K46"/>
  <sheetViews>
    <sheetView zoomScale="124" zoomScaleNormal="124" workbookViewId="0">
      <selection activeCell="B40" sqref="B40:I40"/>
    </sheetView>
  </sheetViews>
  <sheetFormatPr defaultColWidth="8.77734375" defaultRowHeight="14.4"/>
  <cols>
    <col min="2" max="2" width="36.6640625" customWidth="1"/>
    <col min="3" max="3" width="29.44140625" bestFit="1" customWidth="1"/>
    <col min="4" max="4" width="15.33203125" customWidth="1"/>
    <col min="5" max="5" width="13.44140625" customWidth="1"/>
    <col min="6" max="6" width="13.6640625" customWidth="1"/>
    <col min="7" max="7" width="15.44140625" customWidth="1"/>
    <col min="8" max="8" width="16.109375" customWidth="1"/>
    <col min="9" max="9" width="21" customWidth="1"/>
  </cols>
  <sheetData>
    <row r="1" spans="2:9" ht="17.399999999999999">
      <c r="B1" s="14" t="s">
        <v>33</v>
      </c>
      <c r="C1" s="15" t="s">
        <v>1</v>
      </c>
      <c r="D1" s="15" t="s">
        <v>28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>
      <c r="B2" s="1" t="s">
        <v>90</v>
      </c>
      <c r="C2" s="8" t="s">
        <v>24</v>
      </c>
      <c r="D2" s="8" t="s">
        <v>9</v>
      </c>
      <c r="E2" s="4">
        <v>2002</v>
      </c>
      <c r="F2" s="8" t="s">
        <v>14</v>
      </c>
      <c r="G2" s="5">
        <f t="shared" ref="G2:G9" si="0">(H2*E2)/12</f>
        <v>23356.666666666668</v>
      </c>
      <c r="H2" s="5">
        <v>140</v>
      </c>
      <c r="I2" s="7" t="s">
        <v>38</v>
      </c>
    </row>
    <row r="3" spans="2:9">
      <c r="B3" s="1" t="s">
        <v>91</v>
      </c>
      <c r="C3" s="8" t="s">
        <v>20</v>
      </c>
      <c r="D3" s="8" t="s">
        <v>9</v>
      </c>
      <c r="E3" s="4">
        <v>2400</v>
      </c>
      <c r="F3" s="8" t="s">
        <v>14</v>
      </c>
      <c r="G3" s="5">
        <f t="shared" si="0"/>
        <v>29500</v>
      </c>
      <c r="H3" s="19">
        <v>147.5</v>
      </c>
      <c r="I3" s="7" t="s">
        <v>11</v>
      </c>
    </row>
    <row r="4" spans="2:9">
      <c r="B4" s="1" t="s">
        <v>91</v>
      </c>
      <c r="C4" s="8" t="s">
        <v>13</v>
      </c>
      <c r="D4" s="8" t="s">
        <v>9</v>
      </c>
      <c r="E4" s="4">
        <v>2400</v>
      </c>
      <c r="F4" s="8" t="s">
        <v>14</v>
      </c>
      <c r="G4" s="5">
        <f t="shared" si="0"/>
        <v>29500</v>
      </c>
      <c r="H4" s="19">
        <v>147.5</v>
      </c>
      <c r="I4" s="7" t="s">
        <v>11</v>
      </c>
    </row>
    <row r="5" spans="2:9">
      <c r="B5" s="1" t="s">
        <v>91</v>
      </c>
      <c r="C5" s="8" t="s">
        <v>107</v>
      </c>
      <c r="D5" s="8" t="s">
        <v>16</v>
      </c>
      <c r="E5" s="4">
        <v>3778</v>
      </c>
      <c r="F5" s="8" t="s">
        <v>14</v>
      </c>
      <c r="G5" s="5">
        <f t="shared" si="0"/>
        <v>40141.25</v>
      </c>
      <c r="H5" s="19">
        <v>127.5</v>
      </c>
      <c r="I5" s="7" t="s">
        <v>11</v>
      </c>
    </row>
    <row r="6" spans="2:9">
      <c r="B6" s="1" t="s">
        <v>92</v>
      </c>
      <c r="C6" s="8" t="s">
        <v>19</v>
      </c>
      <c r="D6" s="8" t="s">
        <v>9</v>
      </c>
      <c r="E6" s="4">
        <v>2606</v>
      </c>
      <c r="F6" s="8" t="s">
        <v>26</v>
      </c>
      <c r="G6" s="5">
        <f t="shared" si="0"/>
        <v>27145.833333333332</v>
      </c>
      <c r="H6" s="5">
        <v>125</v>
      </c>
      <c r="I6" s="7" t="s">
        <v>11</v>
      </c>
    </row>
    <row r="7" spans="2:9">
      <c r="B7" s="1" t="s">
        <v>93</v>
      </c>
      <c r="C7" s="8" t="s">
        <v>20</v>
      </c>
      <c r="D7" s="8" t="s">
        <v>9</v>
      </c>
      <c r="E7" s="4">
        <v>2831</v>
      </c>
      <c r="F7" s="8" t="s">
        <v>14</v>
      </c>
      <c r="G7" s="5">
        <f t="shared" si="0"/>
        <v>34207.916666666664</v>
      </c>
      <c r="H7" s="5">
        <v>145</v>
      </c>
      <c r="I7" s="7" t="s">
        <v>21</v>
      </c>
    </row>
    <row r="8" spans="2:9">
      <c r="B8" s="1" t="s">
        <v>230</v>
      </c>
      <c r="C8" s="8" t="s">
        <v>20</v>
      </c>
      <c r="D8" s="8" t="s">
        <v>9</v>
      </c>
      <c r="E8" s="4">
        <v>3112</v>
      </c>
      <c r="F8" s="8" t="s">
        <v>14</v>
      </c>
      <c r="G8" s="5">
        <f t="shared" si="0"/>
        <v>27230</v>
      </c>
      <c r="H8" s="5">
        <v>105</v>
      </c>
      <c r="I8" s="7" t="s">
        <v>21</v>
      </c>
    </row>
    <row r="9" spans="2:9">
      <c r="B9" s="1" t="s">
        <v>47</v>
      </c>
      <c r="C9" s="8" t="s">
        <v>42</v>
      </c>
      <c r="D9" s="8" t="s">
        <v>9</v>
      </c>
      <c r="E9" s="4">
        <v>4192</v>
      </c>
      <c r="F9" s="8" t="s">
        <v>14</v>
      </c>
      <c r="G9" s="5">
        <f t="shared" si="0"/>
        <v>38426.666666666664</v>
      </c>
      <c r="H9" s="5">
        <v>110</v>
      </c>
      <c r="I9" s="7" t="s">
        <v>11</v>
      </c>
    </row>
    <row r="10" spans="2:9">
      <c r="B10" s="1" t="s">
        <v>201</v>
      </c>
      <c r="C10" s="8" t="s">
        <v>34</v>
      </c>
      <c r="D10" s="8" t="s">
        <v>9</v>
      </c>
      <c r="E10" s="4">
        <v>5638</v>
      </c>
      <c r="F10" s="8" t="s">
        <v>14</v>
      </c>
      <c r="G10" s="5">
        <f>(H10*E10)/12</f>
        <v>72824.166666666672</v>
      </c>
      <c r="H10" s="5">
        <v>155</v>
      </c>
      <c r="I10" s="7" t="s">
        <v>21</v>
      </c>
    </row>
    <row r="11" spans="2:9">
      <c r="B11" s="1" t="s">
        <v>201</v>
      </c>
      <c r="C11" s="8" t="s">
        <v>20</v>
      </c>
      <c r="D11" s="8" t="s">
        <v>16</v>
      </c>
      <c r="E11" s="4">
        <v>5638</v>
      </c>
      <c r="F11" s="8" t="s">
        <v>14</v>
      </c>
      <c r="G11" s="5">
        <f>(H11*E11)/12</f>
        <v>72824.166666666672</v>
      </c>
      <c r="H11" s="5">
        <v>155</v>
      </c>
      <c r="I11" s="7" t="s">
        <v>21</v>
      </c>
    </row>
    <row r="12" spans="2:9">
      <c r="B12" s="1" t="s">
        <v>201</v>
      </c>
      <c r="C12" s="8" t="s">
        <v>13</v>
      </c>
      <c r="D12" s="8" t="s">
        <v>16</v>
      </c>
      <c r="E12" s="4">
        <v>5638</v>
      </c>
      <c r="F12" s="8" t="s">
        <v>14</v>
      </c>
      <c r="G12" s="5">
        <f>(H12*E12)/12</f>
        <v>72824.166666666672</v>
      </c>
      <c r="H12" s="5">
        <v>155</v>
      </c>
      <c r="I12" s="7" t="s">
        <v>21</v>
      </c>
    </row>
    <row r="13" spans="2:9">
      <c r="B13" s="1" t="s">
        <v>201</v>
      </c>
      <c r="C13" s="8" t="s">
        <v>24</v>
      </c>
      <c r="D13" s="8" t="s">
        <v>16</v>
      </c>
      <c r="E13" s="4">
        <v>2357</v>
      </c>
      <c r="F13" s="8" t="s">
        <v>14</v>
      </c>
      <c r="G13" s="5">
        <f>(H13*E13)/12</f>
        <v>29462.5</v>
      </c>
      <c r="H13" s="5">
        <v>150</v>
      </c>
      <c r="I13" s="7" t="s">
        <v>21</v>
      </c>
    </row>
    <row r="14" spans="2:9">
      <c r="B14" s="1" t="s">
        <v>94</v>
      </c>
      <c r="C14" s="8" t="s">
        <v>146</v>
      </c>
      <c r="D14" s="8" t="s">
        <v>9</v>
      </c>
      <c r="E14" s="4">
        <v>3253</v>
      </c>
      <c r="F14" s="8" t="s">
        <v>14</v>
      </c>
      <c r="G14" s="5">
        <f t="shared" ref="G14:G17" si="1">(H14*E14)/12</f>
        <v>36596.25</v>
      </c>
      <c r="H14" s="5">
        <v>135</v>
      </c>
      <c r="I14" s="7" t="s">
        <v>21</v>
      </c>
    </row>
    <row r="15" spans="2:9">
      <c r="B15" s="1" t="s">
        <v>94</v>
      </c>
      <c r="C15" s="8" t="s">
        <v>23</v>
      </c>
      <c r="D15" s="8" t="s">
        <v>9</v>
      </c>
      <c r="E15" s="4">
        <v>4506</v>
      </c>
      <c r="F15" s="8" t="s">
        <v>14</v>
      </c>
      <c r="G15" s="5">
        <f t="shared" si="1"/>
        <v>50692.5</v>
      </c>
      <c r="H15" s="5">
        <v>135</v>
      </c>
      <c r="I15" s="7" t="s">
        <v>21</v>
      </c>
    </row>
    <row r="16" spans="2:9">
      <c r="B16" s="1" t="s">
        <v>94</v>
      </c>
      <c r="C16" s="8" t="s">
        <v>20</v>
      </c>
      <c r="D16" s="8" t="s">
        <v>9</v>
      </c>
      <c r="E16" s="4">
        <v>5444</v>
      </c>
      <c r="F16" s="8" t="s">
        <v>14</v>
      </c>
      <c r="G16" s="5">
        <f t="shared" si="1"/>
        <v>61245</v>
      </c>
      <c r="H16" s="5">
        <v>135</v>
      </c>
      <c r="I16" s="7" t="s">
        <v>21</v>
      </c>
    </row>
    <row r="17" spans="2:11">
      <c r="B17" s="1" t="s">
        <v>94</v>
      </c>
      <c r="C17" s="8" t="s">
        <v>13</v>
      </c>
      <c r="D17" s="8" t="s">
        <v>9</v>
      </c>
      <c r="E17" s="4">
        <v>5437</v>
      </c>
      <c r="F17" s="8" t="s">
        <v>14</v>
      </c>
      <c r="G17" s="5">
        <f t="shared" si="1"/>
        <v>61166.25</v>
      </c>
      <c r="H17" s="5">
        <v>135</v>
      </c>
      <c r="I17" s="7" t="s">
        <v>21</v>
      </c>
    </row>
    <row r="18" spans="2:11">
      <c r="B18" s="1" t="s">
        <v>94</v>
      </c>
      <c r="C18" s="8" t="s">
        <v>239</v>
      </c>
      <c r="D18" s="8" t="s">
        <v>9</v>
      </c>
      <c r="E18" s="4">
        <v>8054</v>
      </c>
      <c r="F18" s="8" t="s">
        <v>14</v>
      </c>
      <c r="G18" s="5">
        <f t="shared" ref="G18:G46" si="2">(H18*E18)/12</f>
        <v>90607.5</v>
      </c>
      <c r="H18" s="5">
        <v>135</v>
      </c>
      <c r="I18" s="7" t="s">
        <v>21</v>
      </c>
    </row>
    <row r="19" spans="2:11">
      <c r="B19" s="1" t="s">
        <v>150</v>
      </c>
      <c r="C19" s="8" t="s">
        <v>51</v>
      </c>
      <c r="D19" s="8" t="s">
        <v>9</v>
      </c>
      <c r="E19" s="4">
        <v>6741</v>
      </c>
      <c r="F19" s="8" t="s">
        <v>14</v>
      </c>
      <c r="G19" s="5">
        <f t="shared" si="2"/>
        <v>81453.75</v>
      </c>
      <c r="H19" s="5">
        <v>145</v>
      </c>
      <c r="I19" s="7" t="s">
        <v>21</v>
      </c>
      <c r="K19" t="s">
        <v>188</v>
      </c>
    </row>
    <row r="20" spans="2:11">
      <c r="B20" s="1" t="s">
        <v>81</v>
      </c>
      <c r="C20" s="8" t="s">
        <v>199</v>
      </c>
      <c r="D20" s="8" t="s">
        <v>16</v>
      </c>
      <c r="E20" s="4">
        <v>11689</v>
      </c>
      <c r="F20" s="8" t="s">
        <v>17</v>
      </c>
      <c r="G20" s="5">
        <f t="shared" si="2"/>
        <v>185075.83333333334</v>
      </c>
      <c r="H20" s="5">
        <v>190</v>
      </c>
      <c r="I20" s="7" t="s">
        <v>21</v>
      </c>
    </row>
    <row r="21" spans="2:11">
      <c r="B21" s="1" t="s">
        <v>81</v>
      </c>
      <c r="C21" s="8" t="s">
        <v>198</v>
      </c>
      <c r="D21" s="8" t="s">
        <v>16</v>
      </c>
      <c r="E21" s="4">
        <v>6256</v>
      </c>
      <c r="F21" s="8" t="s">
        <v>17</v>
      </c>
      <c r="G21" s="5">
        <f t="shared" si="2"/>
        <v>88626.666666666672</v>
      </c>
      <c r="H21" s="5">
        <v>170</v>
      </c>
      <c r="I21" s="7" t="s">
        <v>21</v>
      </c>
    </row>
    <row r="22" spans="2:11">
      <c r="B22" s="1" t="s">
        <v>81</v>
      </c>
      <c r="C22" s="8" t="s">
        <v>20</v>
      </c>
      <c r="D22" s="8" t="s">
        <v>16</v>
      </c>
      <c r="E22" s="4">
        <v>24484</v>
      </c>
      <c r="F22" s="8" t="s">
        <v>17</v>
      </c>
      <c r="G22" s="5">
        <f t="shared" si="2"/>
        <v>306050</v>
      </c>
      <c r="H22" s="5">
        <v>150</v>
      </c>
      <c r="I22" s="7" t="s">
        <v>21</v>
      </c>
    </row>
    <row r="23" spans="2:11">
      <c r="B23" s="1" t="s">
        <v>81</v>
      </c>
      <c r="C23" s="8" t="s">
        <v>197</v>
      </c>
      <c r="D23" s="8" t="s">
        <v>16</v>
      </c>
      <c r="E23" s="4">
        <v>8797</v>
      </c>
      <c r="F23" s="8" t="s">
        <v>17</v>
      </c>
      <c r="G23" s="5">
        <f t="shared" si="2"/>
        <v>109962.5</v>
      </c>
      <c r="H23" s="5">
        <v>150</v>
      </c>
      <c r="I23" s="7" t="s">
        <v>21</v>
      </c>
    </row>
    <row r="24" spans="2:11">
      <c r="B24" s="1" t="s">
        <v>152</v>
      </c>
      <c r="C24" s="8" t="s">
        <v>13</v>
      </c>
      <c r="D24" s="8" t="s">
        <v>9</v>
      </c>
      <c r="E24" s="4">
        <v>6725</v>
      </c>
      <c r="F24" s="5" t="s">
        <v>14</v>
      </c>
      <c r="G24" s="5">
        <f t="shared" si="2"/>
        <v>81260.416666666672</v>
      </c>
      <c r="H24" s="5">
        <v>145</v>
      </c>
      <c r="I24" s="7" t="s">
        <v>11</v>
      </c>
    </row>
    <row r="25" spans="2:11">
      <c r="B25" s="1" t="s">
        <v>95</v>
      </c>
      <c r="C25" s="8" t="s">
        <v>19</v>
      </c>
      <c r="D25" s="8" t="s">
        <v>16</v>
      </c>
      <c r="E25" s="4">
        <v>6953</v>
      </c>
      <c r="F25" s="8" t="s">
        <v>17</v>
      </c>
      <c r="G25" s="5">
        <f t="shared" si="2"/>
        <v>97052.291666666672</v>
      </c>
      <c r="H25" s="19">
        <v>167.5</v>
      </c>
      <c r="I25" s="7" t="s">
        <v>21</v>
      </c>
    </row>
    <row r="26" spans="2:11">
      <c r="B26" s="1" t="s">
        <v>95</v>
      </c>
      <c r="C26" s="8" t="s">
        <v>23</v>
      </c>
      <c r="D26" s="8" t="s">
        <v>16</v>
      </c>
      <c r="E26" s="4">
        <v>6576</v>
      </c>
      <c r="F26" s="8" t="s">
        <v>17</v>
      </c>
      <c r="G26" s="5">
        <f t="shared" si="2"/>
        <v>89050</v>
      </c>
      <c r="H26" s="19">
        <v>162.5</v>
      </c>
      <c r="I26" s="7" t="s">
        <v>21</v>
      </c>
    </row>
    <row r="27" spans="2:11">
      <c r="B27" s="1" t="s">
        <v>95</v>
      </c>
      <c r="C27" s="8" t="s">
        <v>20</v>
      </c>
      <c r="D27" s="8" t="s">
        <v>16</v>
      </c>
      <c r="E27" s="4">
        <v>8116</v>
      </c>
      <c r="F27" s="8" t="s">
        <v>17</v>
      </c>
      <c r="G27" s="5">
        <f t="shared" si="2"/>
        <v>108213.33333333333</v>
      </c>
      <c r="H27" s="5">
        <v>160</v>
      </c>
      <c r="I27" s="7" t="s">
        <v>21</v>
      </c>
    </row>
    <row r="28" spans="2:11">
      <c r="B28" s="1" t="s">
        <v>95</v>
      </c>
      <c r="C28" s="8" t="s">
        <v>13</v>
      </c>
      <c r="D28" s="8" t="s">
        <v>16</v>
      </c>
      <c r="E28" s="4">
        <v>13110</v>
      </c>
      <c r="F28" s="8" t="s">
        <v>17</v>
      </c>
      <c r="G28" s="5">
        <f t="shared" si="2"/>
        <v>172068.75</v>
      </c>
      <c r="H28" s="19">
        <v>157.5</v>
      </c>
      <c r="I28" s="7" t="s">
        <v>21</v>
      </c>
    </row>
    <row r="29" spans="2:11">
      <c r="B29" s="1" t="s">
        <v>95</v>
      </c>
      <c r="C29" s="8" t="s">
        <v>24</v>
      </c>
      <c r="D29" s="8" t="s">
        <v>16</v>
      </c>
      <c r="E29" s="4">
        <v>4574</v>
      </c>
      <c r="F29" s="8" t="s">
        <v>17</v>
      </c>
      <c r="G29" s="5">
        <f t="shared" si="2"/>
        <v>58127.916666666664</v>
      </c>
      <c r="H29" s="19">
        <v>152.5</v>
      </c>
      <c r="I29" s="7" t="s">
        <v>21</v>
      </c>
    </row>
    <row r="30" spans="2:11">
      <c r="B30" s="1" t="s">
        <v>96</v>
      </c>
      <c r="C30" s="8" t="s">
        <v>146</v>
      </c>
      <c r="D30" s="8" t="s">
        <v>16</v>
      </c>
      <c r="E30" s="4">
        <v>18188</v>
      </c>
      <c r="F30" s="8" t="s">
        <v>14</v>
      </c>
      <c r="G30" s="5">
        <f t="shared" si="2"/>
        <v>234928.33333333334</v>
      </c>
      <c r="H30" s="5">
        <v>155</v>
      </c>
      <c r="I30" s="7" t="s">
        <v>11</v>
      </c>
    </row>
    <row r="31" spans="2:11">
      <c r="B31" s="1" t="s">
        <v>96</v>
      </c>
      <c r="C31" s="8" t="s">
        <v>23</v>
      </c>
      <c r="D31" s="8" t="s">
        <v>16</v>
      </c>
      <c r="E31" s="4">
        <v>24774</v>
      </c>
      <c r="F31" s="8" t="s">
        <v>14</v>
      </c>
      <c r="G31" s="5">
        <f t="shared" si="2"/>
        <v>319997.5</v>
      </c>
      <c r="H31" s="5">
        <v>155</v>
      </c>
      <c r="I31" s="7" t="s">
        <v>11</v>
      </c>
    </row>
    <row r="32" spans="2:11">
      <c r="B32" s="1" t="s">
        <v>96</v>
      </c>
      <c r="C32" s="8" t="s">
        <v>97</v>
      </c>
      <c r="D32" s="8" t="s">
        <v>9</v>
      </c>
      <c r="E32" s="4">
        <v>5515</v>
      </c>
      <c r="F32" s="8" t="s">
        <v>14</v>
      </c>
      <c r="G32" s="5">
        <f t="shared" si="2"/>
        <v>66639.583333333328</v>
      </c>
      <c r="H32" s="5">
        <v>145</v>
      </c>
      <c r="I32" s="7" t="s">
        <v>11</v>
      </c>
    </row>
    <row r="33" spans="2:9">
      <c r="B33" s="1" t="s">
        <v>96</v>
      </c>
      <c r="C33" s="8" t="s">
        <v>98</v>
      </c>
      <c r="D33" s="8" t="s">
        <v>9</v>
      </c>
      <c r="E33" s="4">
        <v>7282</v>
      </c>
      <c r="F33" s="8" t="s">
        <v>14</v>
      </c>
      <c r="G33" s="5">
        <f t="shared" si="2"/>
        <v>87990.833333333328</v>
      </c>
      <c r="H33" s="5">
        <v>145</v>
      </c>
      <c r="I33" s="7" t="s">
        <v>11</v>
      </c>
    </row>
    <row r="34" spans="2:9">
      <c r="B34" s="1" t="s">
        <v>100</v>
      </c>
      <c r="C34" s="8" t="s">
        <v>23</v>
      </c>
      <c r="D34" s="8" t="s">
        <v>16</v>
      </c>
      <c r="E34" s="4">
        <v>5722</v>
      </c>
      <c r="F34" s="8" t="s">
        <v>14</v>
      </c>
      <c r="G34" s="5">
        <f t="shared" si="2"/>
        <v>64372.5</v>
      </c>
      <c r="H34" s="5">
        <v>135</v>
      </c>
      <c r="I34" s="7" t="s">
        <v>11</v>
      </c>
    </row>
    <row r="35" spans="2:9">
      <c r="B35" s="1" t="s">
        <v>99</v>
      </c>
      <c r="C35" s="8" t="s">
        <v>13</v>
      </c>
      <c r="D35" s="8" t="s">
        <v>16</v>
      </c>
      <c r="E35" s="4">
        <v>7412</v>
      </c>
      <c r="F35" s="8" t="s">
        <v>14</v>
      </c>
      <c r="G35" s="5">
        <f t="shared" si="2"/>
        <v>80296.666666666672</v>
      </c>
      <c r="H35" s="5">
        <v>130</v>
      </c>
      <c r="I35" s="7" t="s">
        <v>11</v>
      </c>
    </row>
    <row r="36" spans="2:9">
      <c r="B36" s="1" t="s">
        <v>99</v>
      </c>
      <c r="C36" s="8" t="s">
        <v>101</v>
      </c>
      <c r="D36" s="8" t="s">
        <v>16</v>
      </c>
      <c r="E36" s="4">
        <v>5580</v>
      </c>
      <c r="F36" s="8" t="s">
        <v>14</v>
      </c>
      <c r="G36" s="5">
        <f t="shared" si="2"/>
        <v>44175</v>
      </c>
      <c r="H36" s="5">
        <v>95</v>
      </c>
      <c r="I36" s="7" t="s">
        <v>11</v>
      </c>
    </row>
    <row r="37" spans="2:9">
      <c r="B37" s="1" t="s">
        <v>102</v>
      </c>
      <c r="C37" s="8" t="s">
        <v>20</v>
      </c>
      <c r="D37" s="8" t="s">
        <v>9</v>
      </c>
      <c r="E37" s="4">
        <v>7149</v>
      </c>
      <c r="F37" s="8" t="s">
        <v>14</v>
      </c>
      <c r="G37" s="5">
        <f t="shared" si="2"/>
        <v>71490</v>
      </c>
      <c r="H37" s="5">
        <v>120</v>
      </c>
      <c r="I37" s="7" t="s">
        <v>11</v>
      </c>
    </row>
    <row r="38" spans="2:9">
      <c r="B38" s="1" t="s">
        <v>103</v>
      </c>
      <c r="C38" s="8" t="s">
        <v>18</v>
      </c>
      <c r="D38" s="8" t="s">
        <v>9</v>
      </c>
      <c r="E38" s="4">
        <v>7546</v>
      </c>
      <c r="F38" s="8" t="s">
        <v>14</v>
      </c>
      <c r="G38" s="5">
        <f t="shared" si="2"/>
        <v>81748.333333333328</v>
      </c>
      <c r="H38" s="16">
        <v>130</v>
      </c>
      <c r="I38" s="7" t="s">
        <v>11</v>
      </c>
    </row>
    <row r="39" spans="2:9">
      <c r="B39" s="1" t="s">
        <v>104</v>
      </c>
      <c r="C39" s="8" t="s">
        <v>219</v>
      </c>
      <c r="D39" s="8" t="s">
        <v>9</v>
      </c>
      <c r="E39" s="4">
        <v>6873</v>
      </c>
      <c r="F39" s="8" t="s">
        <v>14</v>
      </c>
      <c r="G39" s="5">
        <f t="shared" si="2"/>
        <v>91640</v>
      </c>
      <c r="H39" s="16">
        <v>160</v>
      </c>
      <c r="I39" s="7" t="s">
        <v>11</v>
      </c>
    </row>
    <row r="40" spans="2:9">
      <c r="B40" s="21" t="s">
        <v>251</v>
      </c>
      <c r="C40" s="22" t="s">
        <v>13</v>
      </c>
      <c r="D40" s="22" t="s">
        <v>9</v>
      </c>
      <c r="E40" s="23">
        <v>10548</v>
      </c>
      <c r="F40" s="22" t="s">
        <v>14</v>
      </c>
      <c r="G40" s="24">
        <f t="shared" si="2"/>
        <v>96690</v>
      </c>
      <c r="H40" s="31">
        <v>110</v>
      </c>
      <c r="I40" s="25" t="s">
        <v>21</v>
      </c>
    </row>
    <row r="41" spans="2:9">
      <c r="B41" s="1" t="s">
        <v>105</v>
      </c>
      <c r="C41" s="8" t="s">
        <v>209</v>
      </c>
      <c r="D41" s="8" t="s">
        <v>16</v>
      </c>
      <c r="E41" s="4">
        <v>11331</v>
      </c>
      <c r="F41" s="8" t="s">
        <v>14</v>
      </c>
      <c r="G41" s="5">
        <f t="shared" si="2"/>
        <v>151080</v>
      </c>
      <c r="H41" s="5">
        <v>160</v>
      </c>
      <c r="I41" s="7" t="s">
        <v>21</v>
      </c>
    </row>
    <row r="42" spans="2:9">
      <c r="B42" s="1" t="s">
        <v>106</v>
      </c>
      <c r="C42" s="8" t="s">
        <v>20</v>
      </c>
      <c r="D42" s="8" t="s">
        <v>9</v>
      </c>
      <c r="E42" s="4">
        <v>20473</v>
      </c>
      <c r="F42" s="8" t="s">
        <v>14</v>
      </c>
      <c r="G42" s="5">
        <f t="shared" si="2"/>
        <v>187669.16666666666</v>
      </c>
      <c r="H42" s="5">
        <v>110</v>
      </c>
      <c r="I42" s="7" t="s">
        <v>21</v>
      </c>
    </row>
    <row r="43" spans="2:9">
      <c r="B43" s="1" t="s">
        <v>106</v>
      </c>
      <c r="C43" s="8" t="s">
        <v>13</v>
      </c>
      <c r="D43" s="8" t="s">
        <v>9</v>
      </c>
      <c r="E43" s="4">
        <v>20355</v>
      </c>
      <c r="F43" s="8" t="s">
        <v>14</v>
      </c>
      <c r="G43" s="5">
        <f t="shared" si="2"/>
        <v>186587.5</v>
      </c>
      <c r="H43" s="5">
        <v>110</v>
      </c>
      <c r="I43" s="7" t="s">
        <v>21</v>
      </c>
    </row>
    <row r="44" spans="2:9">
      <c r="B44" s="1" t="s">
        <v>106</v>
      </c>
      <c r="C44" s="8" t="s">
        <v>107</v>
      </c>
      <c r="D44" s="8" t="s">
        <v>245</v>
      </c>
      <c r="E44" s="4">
        <v>10752</v>
      </c>
      <c r="F44" s="8" t="s">
        <v>14</v>
      </c>
      <c r="G44" s="5">
        <f t="shared" si="2"/>
        <v>89600</v>
      </c>
      <c r="H44" s="5">
        <v>100</v>
      </c>
      <c r="I44" s="7" t="s">
        <v>21</v>
      </c>
    </row>
    <row r="45" spans="2:9">
      <c r="B45" s="1" t="s">
        <v>108</v>
      </c>
      <c r="C45" s="8" t="s">
        <v>19</v>
      </c>
      <c r="D45" s="8" t="s">
        <v>9</v>
      </c>
      <c r="E45" s="4">
        <v>18343</v>
      </c>
      <c r="F45" s="8" t="s">
        <v>14</v>
      </c>
      <c r="G45" s="5">
        <f t="shared" si="2"/>
        <v>198715.83333333334</v>
      </c>
      <c r="H45" s="5">
        <v>130</v>
      </c>
      <c r="I45" s="7" t="s">
        <v>21</v>
      </c>
    </row>
    <row r="46" spans="2:9">
      <c r="B46" s="1" t="s">
        <v>108</v>
      </c>
      <c r="C46" s="8" t="s">
        <v>23</v>
      </c>
      <c r="D46" s="8" t="s">
        <v>9</v>
      </c>
      <c r="E46" s="4">
        <v>20722</v>
      </c>
      <c r="F46" s="8" t="s">
        <v>14</v>
      </c>
      <c r="G46" s="5">
        <f t="shared" si="2"/>
        <v>224488.33333333334</v>
      </c>
      <c r="H46" s="5">
        <v>130</v>
      </c>
      <c r="I46" s="7" t="s">
        <v>21</v>
      </c>
    </row>
  </sheetData>
  <phoneticPr fontId="4" type="noConversion"/>
  <hyperlinks>
    <hyperlink ref="I6" r:id="rId1" xr:uid="{8A2D88E6-D8B2-5F41-B8F1-4DC6B94EEB4C}"/>
    <hyperlink ref="I41" r:id="rId2" xr:uid="{A1E5B4BE-67A1-4745-95B4-4BC21A725600}"/>
    <hyperlink ref="I35" r:id="rId3" xr:uid="{A891C993-0BD8-204F-A650-9D4C3BF251DE}"/>
    <hyperlink ref="I34" r:id="rId4" xr:uid="{E6C31814-EE3D-E341-A4FB-58DF3A3C2D4F}"/>
    <hyperlink ref="I42" r:id="rId5" xr:uid="{06349B56-C965-874E-A7B0-D4D6088D8C34}"/>
    <hyperlink ref="I38" r:id="rId6" xr:uid="{7CB79921-E7E8-AF49-B983-45CA820A6E6C}"/>
    <hyperlink ref="I7" r:id="rId7" xr:uid="{A8F8E78D-BF81-2C4D-A9F4-93AC2BDDD1A6}"/>
    <hyperlink ref="I32" r:id="rId8" xr:uid="{C6155A44-5D95-E14C-A708-D47C4BC98438}"/>
    <hyperlink ref="I2" r:id="rId9" xr:uid="{80D415C4-9E19-5E48-80A8-EDA14AD54EC1}"/>
    <hyperlink ref="I9" r:id="rId10" xr:uid="{26467A8E-DD3E-3449-A370-7E75455F997F}"/>
    <hyperlink ref="I25" r:id="rId11" xr:uid="{E1E0F250-6405-4A4E-90FF-9BDAF8D2225E}"/>
    <hyperlink ref="I26" r:id="rId12" xr:uid="{07530512-954E-3447-BADD-D0E1BDE7C6F4}"/>
    <hyperlink ref="I27" r:id="rId13" xr:uid="{BF1ABA04-2DE0-1D44-AB29-AC27A82ACEDB}"/>
    <hyperlink ref="I28" r:id="rId14" xr:uid="{9E1A082C-6299-654E-886C-226A08343263}"/>
    <hyperlink ref="I29" r:id="rId15" xr:uid="{269AB376-664E-8B4B-BFA7-5E17D9B5B69F}"/>
    <hyperlink ref="I36" r:id="rId16" xr:uid="{B8DF2C7B-503A-6B47-957F-B086439DB627}"/>
    <hyperlink ref="I18" r:id="rId17" xr:uid="{182C30A7-2D42-C445-9F88-210C71BBB9EA}"/>
    <hyperlink ref="I45" r:id="rId18" xr:uid="{473E68AD-F649-6741-AC62-2EEA5778EA5B}"/>
    <hyperlink ref="I46" r:id="rId19" xr:uid="{D4FC5CBC-8611-014D-B149-C24156D936D6}"/>
    <hyperlink ref="I19" r:id="rId20" xr:uid="{19FA3A68-9281-7446-87C6-D358DA9287CF}"/>
    <hyperlink ref="I24" r:id="rId21" xr:uid="{89E17B30-C6A9-684B-8128-39618724DA2A}"/>
    <hyperlink ref="I3" r:id="rId22" xr:uid="{E8F220F7-E5CA-3B44-9153-4C7AE2A39EAD}"/>
    <hyperlink ref="I4" r:id="rId23" xr:uid="{70A6B8CD-6D63-5B40-9A45-E930C0237F02}"/>
    <hyperlink ref="I5" r:id="rId24" xr:uid="{88C153EE-9297-0948-B116-1772710E2448}"/>
    <hyperlink ref="I37" r:id="rId25" xr:uid="{36408F3D-FBC4-9742-BF5B-A0167FFA0EFB}"/>
    <hyperlink ref="I20" r:id="rId26" xr:uid="{DA97EBC5-4042-3B42-BE40-0E241746BE07}"/>
    <hyperlink ref="I21" r:id="rId27" xr:uid="{31D92305-9D56-4048-B2B7-7F18B48E5E91}"/>
    <hyperlink ref="I23" r:id="rId28" xr:uid="{08E8D8D7-A4EA-874D-8337-473988E5EB95}"/>
    <hyperlink ref="I10" r:id="rId29" xr:uid="{B4C3F701-4449-A34A-BCAC-6F1DAA13AFCD}"/>
    <hyperlink ref="I11" r:id="rId30" xr:uid="{B40D6194-3E3F-0240-9F39-374B16CD64B1}"/>
    <hyperlink ref="I12" r:id="rId31" xr:uid="{108D4D08-3B4F-F54A-A217-CAF894DBF514}"/>
    <hyperlink ref="I13" r:id="rId32" xr:uid="{6C480F43-A142-4B45-A81C-1CDF695879B2}"/>
    <hyperlink ref="I33" r:id="rId33" xr:uid="{556C1465-91F5-2446-A5E8-246CB032ECBE}"/>
    <hyperlink ref="I30" r:id="rId34" xr:uid="{1552C69E-04D9-4A4C-AF75-559709423A86}"/>
    <hyperlink ref="I43" r:id="rId35" xr:uid="{4A76D1A5-5053-9845-ADF1-A8A082F28BF6}"/>
    <hyperlink ref="I31" r:id="rId36" xr:uid="{0B6CD627-72EA-4040-BD5A-43BDBAA801C0}"/>
    <hyperlink ref="I22" r:id="rId37" xr:uid="{34870B13-117C-8347-9B7B-D5C31A755872}"/>
    <hyperlink ref="I39" r:id="rId38" xr:uid="{AD9E55DA-50E4-744D-AF64-B1CE2AAB1DF6}"/>
    <hyperlink ref="I8" r:id="rId39" xr:uid="{C871D324-722F-6D4C-B355-E46A8F7E0F1F}"/>
    <hyperlink ref="I17" r:id="rId40" xr:uid="{FE833208-EA56-F946-8937-EA5A07F2B44A}"/>
    <hyperlink ref="I16" r:id="rId41" xr:uid="{33479F76-B0DB-EF48-AA50-EC590803EE74}"/>
    <hyperlink ref="I15" r:id="rId42" xr:uid="{2BCE65B3-DB7C-1E41-979D-BAAC10D06AD5}"/>
    <hyperlink ref="I14" r:id="rId43" xr:uid="{3AF98DE3-EBCA-3048-8269-21308C105CCB}"/>
    <hyperlink ref="I44" r:id="rId44" xr:uid="{9804B466-6EE6-8349-9169-EF8F02BE4236}"/>
    <hyperlink ref="I40" r:id="rId45" xr:uid="{43B415DD-4FB0-6646-B6DA-7C1E766DBDA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3BB6-725A-4FBE-906A-3C984CF323BF}">
  <dimension ref="B1:O24"/>
  <sheetViews>
    <sheetView zoomScale="115" zoomScaleNormal="115" workbookViewId="0">
      <selection activeCell="B28" sqref="B28"/>
    </sheetView>
  </sheetViews>
  <sheetFormatPr defaultColWidth="8.77734375" defaultRowHeight="14.4"/>
  <cols>
    <col min="2" max="2" width="60" bestFit="1" customWidth="1"/>
    <col min="3" max="3" width="36.6640625" customWidth="1"/>
    <col min="4" max="4" width="14.33203125" customWidth="1"/>
    <col min="5" max="5" width="16.44140625" customWidth="1"/>
    <col min="6" max="7" width="14.44140625" customWidth="1"/>
    <col min="8" max="8" width="19.44140625" customWidth="1"/>
    <col min="9" max="9" width="24" customWidth="1"/>
  </cols>
  <sheetData>
    <row r="1" spans="2:15" ht="17.399999999999999">
      <c r="B1" s="14" t="s">
        <v>31</v>
      </c>
      <c r="C1" s="15" t="s">
        <v>1</v>
      </c>
      <c r="D1" s="15" t="s">
        <v>28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15">
      <c r="B2" s="1" t="s">
        <v>109</v>
      </c>
      <c r="C2" s="8" t="s">
        <v>110</v>
      </c>
      <c r="D2" s="8" t="s">
        <v>9</v>
      </c>
      <c r="E2" s="4">
        <v>624</v>
      </c>
      <c r="F2" s="8" t="s">
        <v>26</v>
      </c>
      <c r="G2" s="5">
        <f t="shared" ref="G2:G22" si="0">(H2*E2)/12</f>
        <v>8840</v>
      </c>
      <c r="H2" s="5">
        <v>170</v>
      </c>
      <c r="I2" s="13" t="s">
        <v>11</v>
      </c>
    </row>
    <row r="3" spans="2:15">
      <c r="B3" s="1" t="s">
        <v>109</v>
      </c>
      <c r="C3" s="8" t="s">
        <v>111</v>
      </c>
      <c r="D3" s="8" t="s">
        <v>9</v>
      </c>
      <c r="E3" s="4">
        <v>646</v>
      </c>
      <c r="F3" s="8" t="s">
        <v>26</v>
      </c>
      <c r="G3" s="5">
        <f t="shared" si="0"/>
        <v>9151.6666666666661</v>
      </c>
      <c r="H3" s="5">
        <v>170</v>
      </c>
      <c r="I3" s="13" t="s">
        <v>11</v>
      </c>
    </row>
    <row r="4" spans="2:15">
      <c r="B4" s="1" t="s">
        <v>109</v>
      </c>
      <c r="C4" s="8" t="s">
        <v>197</v>
      </c>
      <c r="D4" s="8" t="s">
        <v>9</v>
      </c>
      <c r="E4" s="4">
        <v>601</v>
      </c>
      <c r="F4" s="8" t="s">
        <v>26</v>
      </c>
      <c r="G4" s="5">
        <f t="shared" si="0"/>
        <v>8514.1666666666661</v>
      </c>
      <c r="H4" s="5">
        <v>170</v>
      </c>
      <c r="I4" s="13" t="s">
        <v>11</v>
      </c>
    </row>
    <row r="5" spans="2:15">
      <c r="B5" s="1" t="s">
        <v>165</v>
      </c>
      <c r="C5" s="8" t="s">
        <v>220</v>
      </c>
      <c r="D5" s="8" t="s">
        <v>9</v>
      </c>
      <c r="E5" s="4">
        <v>1030</v>
      </c>
      <c r="F5" s="8" t="s">
        <v>14</v>
      </c>
      <c r="G5" s="5">
        <f t="shared" si="0"/>
        <v>14162.5</v>
      </c>
      <c r="H5" s="5">
        <v>165</v>
      </c>
      <c r="I5" s="13" t="s">
        <v>11</v>
      </c>
      <c r="O5" t="s">
        <v>246</v>
      </c>
    </row>
    <row r="6" spans="2:15">
      <c r="B6" s="1" t="s">
        <v>165</v>
      </c>
      <c r="C6" s="8" t="s">
        <v>221</v>
      </c>
      <c r="D6" s="8" t="s">
        <v>9</v>
      </c>
      <c r="E6" s="4">
        <v>1643</v>
      </c>
      <c r="F6" s="8" t="s">
        <v>14</v>
      </c>
      <c r="G6" s="5">
        <f t="shared" si="0"/>
        <v>22591.25</v>
      </c>
      <c r="H6" s="5">
        <v>165</v>
      </c>
      <c r="I6" s="13" t="s">
        <v>11</v>
      </c>
    </row>
    <row r="7" spans="2:15">
      <c r="B7" s="1" t="s">
        <v>165</v>
      </c>
      <c r="C7" s="8" t="s">
        <v>222</v>
      </c>
      <c r="D7" s="8" t="s">
        <v>9</v>
      </c>
      <c r="E7" s="4">
        <v>2673</v>
      </c>
      <c r="F7" s="8" t="s">
        <v>14</v>
      </c>
      <c r="G7" s="5">
        <f t="shared" si="0"/>
        <v>35640</v>
      </c>
      <c r="H7" s="5">
        <v>160</v>
      </c>
      <c r="I7" s="13" t="s">
        <v>11</v>
      </c>
    </row>
    <row r="8" spans="2:15">
      <c r="B8" s="1" t="s">
        <v>164</v>
      </c>
      <c r="C8" s="8" t="s">
        <v>20</v>
      </c>
      <c r="D8" s="8" t="s">
        <v>16</v>
      </c>
      <c r="E8" s="4">
        <v>1863</v>
      </c>
      <c r="F8" s="8" t="s">
        <v>14</v>
      </c>
      <c r="G8" s="5">
        <f t="shared" si="0"/>
        <v>24063.75</v>
      </c>
      <c r="H8" s="5">
        <v>155</v>
      </c>
      <c r="I8" s="13" t="s">
        <v>11</v>
      </c>
    </row>
    <row r="9" spans="2:15">
      <c r="B9" s="1" t="s">
        <v>112</v>
      </c>
      <c r="C9" s="8" t="s">
        <v>113</v>
      </c>
      <c r="D9" s="8" t="s">
        <v>9</v>
      </c>
      <c r="E9" s="4">
        <v>4461</v>
      </c>
      <c r="F9" s="8" t="s">
        <v>14</v>
      </c>
      <c r="G9" s="5">
        <f t="shared" si="0"/>
        <v>46468.75</v>
      </c>
      <c r="H9" s="5">
        <v>125</v>
      </c>
      <c r="I9" s="13" t="s">
        <v>114</v>
      </c>
    </row>
    <row r="10" spans="2:15">
      <c r="B10" s="1" t="s">
        <v>210</v>
      </c>
      <c r="C10" s="8" t="s">
        <v>20</v>
      </c>
      <c r="D10" s="8" t="s">
        <v>9</v>
      </c>
      <c r="E10" s="4">
        <v>4156</v>
      </c>
      <c r="F10" s="8" t="s">
        <v>14</v>
      </c>
      <c r="G10" s="5">
        <f t="shared" si="0"/>
        <v>57145</v>
      </c>
      <c r="H10" s="19">
        <v>165</v>
      </c>
      <c r="I10" s="13" t="s">
        <v>21</v>
      </c>
    </row>
    <row r="11" spans="2:15">
      <c r="B11" s="1" t="s">
        <v>192</v>
      </c>
      <c r="C11" s="8" t="s">
        <v>45</v>
      </c>
      <c r="D11" s="8" t="s">
        <v>9</v>
      </c>
      <c r="E11" s="4">
        <v>3528</v>
      </c>
      <c r="F11" s="8" t="s">
        <v>14</v>
      </c>
      <c r="G11" s="5">
        <f t="shared" si="0"/>
        <v>42630</v>
      </c>
      <c r="H11" s="5">
        <v>145</v>
      </c>
      <c r="I11" s="13" t="s">
        <v>21</v>
      </c>
    </row>
    <row r="12" spans="2:15">
      <c r="B12" s="1" t="s">
        <v>192</v>
      </c>
      <c r="C12" s="8" t="s">
        <v>15</v>
      </c>
      <c r="D12" s="8" t="s">
        <v>9</v>
      </c>
      <c r="E12" s="4">
        <v>3904</v>
      </c>
      <c r="F12" s="8" t="s">
        <v>14</v>
      </c>
      <c r="G12" s="5">
        <f t="shared" si="0"/>
        <v>45546.666666666664</v>
      </c>
      <c r="H12" s="5">
        <v>140</v>
      </c>
      <c r="I12" s="13" t="s">
        <v>21</v>
      </c>
    </row>
    <row r="13" spans="2:15">
      <c r="B13" s="1" t="s">
        <v>189</v>
      </c>
      <c r="C13" s="8" t="s">
        <v>249</v>
      </c>
      <c r="D13" s="8" t="s">
        <v>9</v>
      </c>
      <c r="E13" s="4">
        <v>5746</v>
      </c>
      <c r="F13" s="8" t="s">
        <v>14</v>
      </c>
      <c r="G13" s="5">
        <f t="shared" si="0"/>
        <v>62248.333333333336</v>
      </c>
      <c r="H13" s="5">
        <v>130</v>
      </c>
      <c r="I13" s="13" t="s">
        <v>21</v>
      </c>
    </row>
    <row r="14" spans="2:15">
      <c r="B14" s="1" t="s">
        <v>116</v>
      </c>
      <c r="C14" s="8" t="s">
        <v>51</v>
      </c>
      <c r="D14" s="8" t="s">
        <v>233</v>
      </c>
      <c r="E14" s="4">
        <v>6397</v>
      </c>
      <c r="F14" s="8" t="s">
        <v>14</v>
      </c>
      <c r="G14" s="5">
        <f t="shared" si="0"/>
        <v>79962.5</v>
      </c>
      <c r="H14" s="5">
        <v>150</v>
      </c>
      <c r="I14" s="13" t="s">
        <v>11</v>
      </c>
    </row>
    <row r="15" spans="2:15">
      <c r="B15" s="1" t="s">
        <v>185</v>
      </c>
      <c r="C15" s="8" t="s">
        <v>15</v>
      </c>
      <c r="D15" s="8" t="s">
        <v>16</v>
      </c>
      <c r="E15" s="4">
        <v>7276</v>
      </c>
      <c r="F15" s="8" t="s">
        <v>14</v>
      </c>
      <c r="G15" s="5">
        <f t="shared" si="0"/>
        <v>100045</v>
      </c>
      <c r="H15" s="5">
        <v>165</v>
      </c>
      <c r="I15" s="13" t="s">
        <v>21</v>
      </c>
    </row>
    <row r="16" spans="2:15">
      <c r="B16" s="1" t="s">
        <v>185</v>
      </c>
      <c r="C16" s="8" t="s">
        <v>19</v>
      </c>
      <c r="D16" s="8" t="s">
        <v>16</v>
      </c>
      <c r="E16" s="4">
        <v>8869</v>
      </c>
      <c r="F16" s="5" t="s">
        <v>14</v>
      </c>
      <c r="G16" s="5">
        <f t="shared" si="0"/>
        <v>118253.33333333333</v>
      </c>
      <c r="H16" s="5">
        <v>160</v>
      </c>
      <c r="I16" s="13" t="s">
        <v>21</v>
      </c>
    </row>
    <row r="17" spans="2:14">
      <c r="B17" s="1" t="s">
        <v>185</v>
      </c>
      <c r="C17" s="8" t="s">
        <v>23</v>
      </c>
      <c r="D17" s="8" t="s">
        <v>16</v>
      </c>
      <c r="E17" s="4">
        <v>8869</v>
      </c>
      <c r="F17" s="8" t="s">
        <v>14</v>
      </c>
      <c r="G17" s="5">
        <f t="shared" si="0"/>
        <v>118253.33333333333</v>
      </c>
      <c r="H17" s="5">
        <v>160</v>
      </c>
      <c r="I17" s="13" t="s">
        <v>21</v>
      </c>
    </row>
    <row r="18" spans="2:14">
      <c r="B18" s="1" t="s">
        <v>185</v>
      </c>
      <c r="C18" s="8" t="s">
        <v>20</v>
      </c>
      <c r="D18" s="8" t="s">
        <v>16</v>
      </c>
      <c r="E18" s="4">
        <v>8869</v>
      </c>
      <c r="F18" s="8" t="s">
        <v>14</v>
      </c>
      <c r="G18" s="5">
        <f t="shared" si="0"/>
        <v>118253.33333333333</v>
      </c>
      <c r="H18" s="5">
        <v>160</v>
      </c>
      <c r="I18" s="13" t="s">
        <v>21</v>
      </c>
    </row>
    <row r="19" spans="2:14">
      <c r="B19" s="1" t="s">
        <v>185</v>
      </c>
      <c r="C19" s="8" t="s">
        <v>69</v>
      </c>
      <c r="D19" s="8" t="s">
        <v>16</v>
      </c>
      <c r="E19" s="4">
        <v>8848</v>
      </c>
      <c r="F19" s="5" t="s">
        <v>14</v>
      </c>
      <c r="G19" s="5">
        <f t="shared" si="0"/>
        <v>117973.33333333333</v>
      </c>
      <c r="H19" s="5">
        <v>160</v>
      </c>
      <c r="I19" s="13" t="s">
        <v>21</v>
      </c>
    </row>
    <row r="20" spans="2:14">
      <c r="B20" s="1" t="s">
        <v>76</v>
      </c>
      <c r="C20" s="3" t="s">
        <v>207</v>
      </c>
      <c r="D20" s="3" t="s">
        <v>9</v>
      </c>
      <c r="E20" s="10">
        <v>9051</v>
      </c>
      <c r="F20" s="2" t="s">
        <v>14</v>
      </c>
      <c r="G20" s="5">
        <f t="shared" si="0"/>
        <v>120680</v>
      </c>
      <c r="H20" s="11">
        <v>160</v>
      </c>
      <c r="I20" s="7" t="s">
        <v>11</v>
      </c>
    </row>
    <row r="21" spans="2:14">
      <c r="B21" s="1" t="s">
        <v>76</v>
      </c>
      <c r="C21" s="3" t="s">
        <v>208</v>
      </c>
      <c r="D21" s="3" t="s">
        <v>9</v>
      </c>
      <c r="E21" s="10">
        <v>4926</v>
      </c>
      <c r="F21" s="2" t="s">
        <v>14</v>
      </c>
      <c r="G21" s="5">
        <f t="shared" si="0"/>
        <v>63627.5</v>
      </c>
      <c r="H21" s="11">
        <v>155</v>
      </c>
      <c r="I21" s="7" t="s">
        <v>11</v>
      </c>
    </row>
    <row r="22" spans="2:14">
      <c r="B22" s="1" t="s">
        <v>227</v>
      </c>
      <c r="C22" s="8" t="s">
        <v>35</v>
      </c>
      <c r="D22" s="8" t="s">
        <v>9</v>
      </c>
      <c r="E22" s="4">
        <v>14709</v>
      </c>
      <c r="F22" s="8" t="s">
        <v>14</v>
      </c>
      <c r="G22" s="5">
        <f t="shared" si="0"/>
        <v>186926.875</v>
      </c>
      <c r="H22" s="19">
        <v>152.5</v>
      </c>
      <c r="I22" s="7" t="s">
        <v>44</v>
      </c>
    </row>
    <row r="24" spans="2:14">
      <c r="N24" t="s">
        <v>188</v>
      </c>
    </row>
  </sheetData>
  <phoneticPr fontId="4" type="noConversion"/>
  <hyperlinks>
    <hyperlink ref="I2" r:id="rId1" xr:uid="{2B7F23E1-7BFB-4246-AB72-FDB7FD2B2FF7}"/>
    <hyperlink ref="I3" r:id="rId2" xr:uid="{520298C5-36A6-7A4B-BB32-D480B05F98B6}"/>
    <hyperlink ref="I14" r:id="rId3" xr:uid="{6D4368EC-1C89-4143-BEEF-C1AA263B5D03}"/>
    <hyperlink ref="I9" r:id="rId4" xr:uid="{D8AFB072-DD32-8F4D-8E5E-21EFCA1D165A}"/>
    <hyperlink ref="I8" r:id="rId5" xr:uid="{396E72AA-9685-134C-832D-8323A7386E09}"/>
    <hyperlink ref="I15" r:id="rId6" xr:uid="{6774CBFE-6EB9-264C-AF94-8745662339A5}"/>
    <hyperlink ref="I16" r:id="rId7" xr:uid="{7B8A8924-AEDC-9F4D-9F28-C6242636EC83}"/>
    <hyperlink ref="I17" r:id="rId8" xr:uid="{88A99A24-578A-BA49-885E-FB546A9A4770}"/>
    <hyperlink ref="I18" r:id="rId9" xr:uid="{792D4E1A-47F3-B047-9F7B-C5098EA1CA5B}"/>
    <hyperlink ref="I19" r:id="rId10" xr:uid="{4C295158-1EEA-694E-B7BA-4208FA30CEA0}"/>
    <hyperlink ref="I20" r:id="rId11" xr:uid="{EFA2A0B6-9E98-F64F-9710-0302CA3B326B}"/>
    <hyperlink ref="I21" r:id="rId12" xr:uid="{807E12C1-0E07-434F-9B74-972A1A14130F}"/>
    <hyperlink ref="I13" r:id="rId13" xr:uid="{83C3EEB0-8418-164B-ADA7-2000F4C0BE33}"/>
    <hyperlink ref="I10" r:id="rId14" xr:uid="{5907134A-F347-4744-BE36-A91A2D3C8DA4}"/>
    <hyperlink ref="I5" r:id="rId15" xr:uid="{73AB3B61-A7C9-F74F-BD8A-A3689DB1B5C2}"/>
    <hyperlink ref="I6" r:id="rId16" xr:uid="{22CF62CE-4B0D-7E48-9B4C-DCF3BCD98BED}"/>
    <hyperlink ref="I7" r:id="rId17" xr:uid="{CBC8C2DD-1818-2C4E-AF07-4B86F34D4935}"/>
    <hyperlink ref="I22" r:id="rId18" xr:uid="{84423086-EC8F-5648-A106-BCE83252BE1C}"/>
    <hyperlink ref="I11" r:id="rId19" xr:uid="{BED89F5D-E10F-E74C-9873-27555537F2E7}"/>
    <hyperlink ref="I4" r:id="rId20" xr:uid="{07B83929-99FE-FC4E-B095-41E5C5F9C8F6}"/>
    <hyperlink ref="I12" r:id="rId21" xr:uid="{DA3F0BEA-23A5-A448-8884-70F43F02280B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F436-EC91-4A15-A111-7849C89CAA8E}">
  <dimension ref="B1:I20"/>
  <sheetViews>
    <sheetView zoomScale="124" zoomScaleNormal="124" workbookViewId="0">
      <selection activeCell="K1" sqref="K1:M1048576"/>
    </sheetView>
  </sheetViews>
  <sheetFormatPr defaultColWidth="8.77734375" defaultRowHeight="14.4"/>
  <cols>
    <col min="2" max="2" width="37.44140625" customWidth="1"/>
    <col min="3" max="3" width="27.44140625" customWidth="1"/>
    <col min="4" max="4" width="19.109375" customWidth="1"/>
    <col min="5" max="5" width="15.77734375" customWidth="1"/>
    <col min="6" max="6" width="22.6640625" bestFit="1" customWidth="1"/>
    <col min="7" max="7" width="15.44140625" customWidth="1"/>
    <col min="8" max="8" width="15.77734375" customWidth="1"/>
    <col min="9" max="9" width="17.6640625" customWidth="1"/>
  </cols>
  <sheetData>
    <row r="1" spans="2:9" ht="17.399999999999999">
      <c r="B1" s="14" t="s">
        <v>27</v>
      </c>
      <c r="C1" s="15" t="s">
        <v>1</v>
      </c>
      <c r="D1" s="15" t="s">
        <v>28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>
      <c r="B2" s="1" t="s">
        <v>157</v>
      </c>
      <c r="C2" s="8" t="s">
        <v>42</v>
      </c>
      <c r="D2" s="8" t="s">
        <v>16</v>
      </c>
      <c r="E2" s="4">
        <v>1281</v>
      </c>
      <c r="F2" s="4" t="s">
        <v>14</v>
      </c>
      <c r="G2" s="5">
        <f t="shared" ref="G2:G8" si="0">(H2*E2)/12</f>
        <v>17880.625</v>
      </c>
      <c r="H2" s="19">
        <v>167.5</v>
      </c>
      <c r="I2" s="13" t="s">
        <v>11</v>
      </c>
    </row>
    <row r="3" spans="2:9">
      <c r="B3" s="1" t="s">
        <v>157</v>
      </c>
      <c r="C3" s="8" t="s">
        <v>8</v>
      </c>
      <c r="D3" s="8" t="s">
        <v>16</v>
      </c>
      <c r="E3" s="4">
        <v>1776</v>
      </c>
      <c r="F3" s="4" t="s">
        <v>14</v>
      </c>
      <c r="G3" s="5">
        <f t="shared" si="0"/>
        <v>24346</v>
      </c>
      <c r="H3" s="19">
        <v>164.5</v>
      </c>
      <c r="I3" s="13" t="s">
        <v>11</v>
      </c>
    </row>
    <row r="4" spans="2:9">
      <c r="B4" s="1" t="s">
        <v>157</v>
      </c>
      <c r="C4" s="8" t="s">
        <v>35</v>
      </c>
      <c r="D4" s="8" t="s">
        <v>16</v>
      </c>
      <c r="E4" s="4">
        <v>1776</v>
      </c>
      <c r="F4" s="4" t="s">
        <v>14</v>
      </c>
      <c r="G4" s="5">
        <f t="shared" si="0"/>
        <v>23976</v>
      </c>
      <c r="H4" s="19">
        <v>162</v>
      </c>
      <c r="I4" s="13" t="s">
        <v>11</v>
      </c>
    </row>
    <row r="5" spans="2:9">
      <c r="B5" s="1" t="s">
        <v>157</v>
      </c>
      <c r="C5" s="8" t="s">
        <v>19</v>
      </c>
      <c r="D5" s="8" t="s">
        <v>16</v>
      </c>
      <c r="E5" s="4">
        <v>1776</v>
      </c>
      <c r="F5" s="4" t="s">
        <v>14</v>
      </c>
      <c r="G5" s="5">
        <f t="shared" si="0"/>
        <v>23680</v>
      </c>
      <c r="H5" s="19">
        <v>160</v>
      </c>
      <c r="I5" s="13" t="s">
        <v>11</v>
      </c>
    </row>
    <row r="6" spans="2:9">
      <c r="B6" s="1" t="s">
        <v>157</v>
      </c>
      <c r="C6" s="8" t="s">
        <v>23</v>
      </c>
      <c r="D6" s="8" t="s">
        <v>16</v>
      </c>
      <c r="E6" s="4">
        <v>1776</v>
      </c>
      <c r="F6" s="4" t="s">
        <v>14</v>
      </c>
      <c r="G6" s="5">
        <f t="shared" si="0"/>
        <v>23310</v>
      </c>
      <c r="H6" s="19">
        <v>157.5</v>
      </c>
      <c r="I6" s="13" t="s">
        <v>11</v>
      </c>
    </row>
    <row r="7" spans="2:9">
      <c r="B7" s="1" t="s">
        <v>157</v>
      </c>
      <c r="C7" s="8" t="s">
        <v>20</v>
      </c>
      <c r="D7" s="8" t="s">
        <v>9</v>
      </c>
      <c r="E7" s="4">
        <v>1776</v>
      </c>
      <c r="F7" s="4" t="s">
        <v>14</v>
      </c>
      <c r="G7" s="5">
        <f t="shared" si="0"/>
        <v>21830</v>
      </c>
      <c r="H7" s="19">
        <v>147.5</v>
      </c>
      <c r="I7" s="13" t="s">
        <v>11</v>
      </c>
    </row>
    <row r="8" spans="2:9">
      <c r="B8" s="1" t="s">
        <v>157</v>
      </c>
      <c r="C8" s="8" t="s">
        <v>13</v>
      </c>
      <c r="D8" s="8" t="s">
        <v>9</v>
      </c>
      <c r="E8" s="4">
        <v>1410</v>
      </c>
      <c r="F8" s="4" t="s">
        <v>14</v>
      </c>
      <c r="G8" s="5">
        <f t="shared" si="0"/>
        <v>17037.5</v>
      </c>
      <c r="H8" s="19">
        <v>145</v>
      </c>
      <c r="I8" s="13" t="s">
        <v>11</v>
      </c>
    </row>
    <row r="9" spans="2:9">
      <c r="B9" s="1" t="s">
        <v>175</v>
      </c>
      <c r="C9" s="8" t="s">
        <v>23</v>
      </c>
      <c r="D9" s="8" t="s">
        <v>9</v>
      </c>
      <c r="E9" s="4">
        <v>4144</v>
      </c>
      <c r="F9" s="8" t="s">
        <v>117</v>
      </c>
      <c r="G9" s="5">
        <f t="shared" ref="G9:G18" si="1">(H9*E9)/12</f>
        <v>49037.333333333336</v>
      </c>
      <c r="H9" s="5">
        <v>142</v>
      </c>
      <c r="I9" s="7" t="s">
        <v>11</v>
      </c>
    </row>
    <row r="10" spans="2:9">
      <c r="B10" s="1" t="s">
        <v>175</v>
      </c>
      <c r="C10" s="8" t="s">
        <v>61</v>
      </c>
      <c r="D10" s="8" t="s">
        <v>9</v>
      </c>
      <c r="E10" s="4">
        <v>2404</v>
      </c>
      <c r="F10" s="8" t="s">
        <v>117</v>
      </c>
      <c r="G10" s="5">
        <f t="shared" si="1"/>
        <v>28447.333333333332</v>
      </c>
      <c r="H10" s="5">
        <v>142</v>
      </c>
      <c r="I10" s="7" t="s">
        <v>11</v>
      </c>
    </row>
    <row r="11" spans="2:9">
      <c r="B11" s="1" t="s">
        <v>118</v>
      </c>
      <c r="C11" s="8" t="s">
        <v>40</v>
      </c>
      <c r="D11" s="8" t="s">
        <v>9</v>
      </c>
      <c r="E11" s="4">
        <v>2214</v>
      </c>
      <c r="F11" s="8" t="s">
        <v>14</v>
      </c>
      <c r="G11" s="5">
        <f t="shared" si="1"/>
        <v>27675</v>
      </c>
      <c r="H11" s="5">
        <v>150</v>
      </c>
      <c r="I11" s="7" t="s">
        <v>11</v>
      </c>
    </row>
    <row r="12" spans="2:9">
      <c r="B12" s="1" t="s">
        <v>119</v>
      </c>
      <c r="C12" s="8" t="s">
        <v>8</v>
      </c>
      <c r="D12" s="8" t="s">
        <v>9</v>
      </c>
      <c r="E12" s="4">
        <v>2800</v>
      </c>
      <c r="F12" s="8" t="s">
        <v>10</v>
      </c>
      <c r="G12" s="5">
        <f t="shared" si="1"/>
        <v>31500</v>
      </c>
      <c r="H12" s="5">
        <v>135</v>
      </c>
      <c r="I12" s="7" t="s">
        <v>11</v>
      </c>
    </row>
    <row r="13" spans="2:9">
      <c r="B13" s="1" t="s">
        <v>119</v>
      </c>
      <c r="C13" s="8" t="s">
        <v>19</v>
      </c>
      <c r="D13" s="8" t="s">
        <v>9</v>
      </c>
      <c r="E13" s="4">
        <v>2800</v>
      </c>
      <c r="F13" s="8" t="s">
        <v>10</v>
      </c>
      <c r="G13" s="5">
        <f t="shared" si="1"/>
        <v>30916.666666666668</v>
      </c>
      <c r="H13" s="19">
        <v>132.5</v>
      </c>
      <c r="I13" s="7" t="s">
        <v>11</v>
      </c>
    </row>
    <row r="14" spans="2:9">
      <c r="B14" s="1" t="s">
        <v>173</v>
      </c>
      <c r="C14" s="8" t="s">
        <v>20</v>
      </c>
      <c r="D14" s="8" t="s">
        <v>9</v>
      </c>
      <c r="E14" s="4">
        <v>3432</v>
      </c>
      <c r="F14" s="8" t="s">
        <v>117</v>
      </c>
      <c r="G14" s="5">
        <f t="shared" si="1"/>
        <v>43615</v>
      </c>
      <c r="H14" s="19">
        <v>152.5</v>
      </c>
      <c r="I14" s="7" t="s">
        <v>11</v>
      </c>
    </row>
    <row r="15" spans="2:9">
      <c r="B15" s="1" t="s">
        <v>173</v>
      </c>
      <c r="C15" s="8" t="s">
        <v>13</v>
      </c>
      <c r="D15" s="8" t="s">
        <v>9</v>
      </c>
      <c r="E15" s="4">
        <v>3410</v>
      </c>
      <c r="F15" s="8" t="s">
        <v>117</v>
      </c>
      <c r="G15" s="5">
        <f t="shared" si="1"/>
        <v>43335.416666666664</v>
      </c>
      <c r="H15" s="19">
        <v>152.5</v>
      </c>
      <c r="I15" s="7" t="s">
        <v>11</v>
      </c>
    </row>
    <row r="16" spans="2:9">
      <c r="B16" s="1" t="s">
        <v>174</v>
      </c>
      <c r="C16" s="8" t="s">
        <v>20</v>
      </c>
      <c r="D16" s="8" t="s">
        <v>9</v>
      </c>
      <c r="E16" s="4">
        <v>3391</v>
      </c>
      <c r="F16" s="8" t="s">
        <v>117</v>
      </c>
      <c r="G16" s="5">
        <f t="shared" si="1"/>
        <v>38572.625</v>
      </c>
      <c r="H16" s="19">
        <v>136.5</v>
      </c>
      <c r="I16" s="13" t="s">
        <v>11</v>
      </c>
    </row>
    <row r="17" spans="2:9">
      <c r="B17" s="1" t="s">
        <v>174</v>
      </c>
      <c r="C17" s="8" t="s">
        <v>13</v>
      </c>
      <c r="D17" s="8" t="s">
        <v>9</v>
      </c>
      <c r="E17" s="4">
        <v>3520</v>
      </c>
      <c r="F17" s="8" t="s">
        <v>117</v>
      </c>
      <c r="G17" s="5">
        <f t="shared" si="1"/>
        <v>40040</v>
      </c>
      <c r="H17" s="19">
        <v>136.5</v>
      </c>
      <c r="I17" s="13" t="s">
        <v>11</v>
      </c>
    </row>
    <row r="18" spans="2:9">
      <c r="B18" s="1" t="s">
        <v>120</v>
      </c>
      <c r="C18" s="8" t="s">
        <v>13</v>
      </c>
      <c r="D18" s="8" t="s">
        <v>16</v>
      </c>
      <c r="E18" s="4">
        <v>8356</v>
      </c>
      <c r="F18" s="8" t="s">
        <v>14</v>
      </c>
      <c r="G18" s="5">
        <f t="shared" si="1"/>
        <v>107931.66666666667</v>
      </c>
      <c r="H18" s="5">
        <v>155</v>
      </c>
      <c r="I18" s="13" t="s">
        <v>44</v>
      </c>
    </row>
    <row r="19" spans="2:9">
      <c r="B19" s="1" t="s">
        <v>121</v>
      </c>
      <c r="C19" s="8" t="s">
        <v>13</v>
      </c>
      <c r="D19" s="8" t="s">
        <v>122</v>
      </c>
      <c r="E19" s="4">
        <v>6665</v>
      </c>
      <c r="F19" s="8" t="s">
        <v>14</v>
      </c>
      <c r="G19" s="5">
        <f t="shared" ref="G19:G20" si="2">(H19*E19)/12</f>
        <v>86089.583333333328</v>
      </c>
      <c r="H19" s="5">
        <v>155</v>
      </c>
      <c r="I19" s="13" t="s">
        <v>44</v>
      </c>
    </row>
    <row r="20" spans="2:9">
      <c r="B20" s="1" t="s">
        <v>123</v>
      </c>
      <c r="C20" s="8" t="s">
        <v>42</v>
      </c>
      <c r="D20" s="8" t="s">
        <v>9</v>
      </c>
      <c r="E20" s="4">
        <v>9722</v>
      </c>
      <c r="F20" s="8" t="s">
        <v>10</v>
      </c>
      <c r="G20" s="5">
        <f t="shared" si="2"/>
        <v>117474.16666666667</v>
      </c>
      <c r="H20" s="5">
        <v>145</v>
      </c>
      <c r="I20" s="13" t="s">
        <v>44</v>
      </c>
    </row>
  </sheetData>
  <hyperlinks>
    <hyperlink ref="I16" r:id="rId1" xr:uid="{0471C3E9-08DB-2147-A532-E5476017C7B4}"/>
    <hyperlink ref="I19" r:id="rId2" xr:uid="{ADB34E2F-901E-1B4F-9A55-94C44F637376}"/>
    <hyperlink ref="I20" r:id="rId3" xr:uid="{4E926817-6491-A144-A381-000EA959ACA9}"/>
    <hyperlink ref="I11" r:id="rId4" xr:uid="{E8BA5FD9-08E9-D041-9D18-F1994BE6F0A6}"/>
    <hyperlink ref="I9" r:id="rId5" xr:uid="{67A510AB-4B5F-F14A-8B93-8C473C5B7D45}"/>
    <hyperlink ref="I14" r:id="rId6" xr:uid="{2E44F0D1-E7B1-7B43-915C-F5115046210D}"/>
    <hyperlink ref="I17" r:id="rId7" xr:uid="{B6B88B94-2B7D-3848-8FC1-790EB4921520}"/>
    <hyperlink ref="I10" r:id="rId8" xr:uid="{6C4D0AEB-7554-0946-8490-1C220F716BC8}"/>
    <hyperlink ref="I15" r:id="rId9" xr:uid="{DF54AF38-9218-4F46-86D1-9DD04988F30D}"/>
    <hyperlink ref="I13" r:id="rId10" xr:uid="{570569DD-4C9F-B749-8745-7E5C440975E5}"/>
    <hyperlink ref="I18" r:id="rId11" xr:uid="{66635512-A067-ED46-B517-DE2104BB6A8B}"/>
    <hyperlink ref="I12" r:id="rId12" xr:uid="{D71921DB-0DB3-D246-9D43-07EA2E81B485}"/>
    <hyperlink ref="I2" r:id="rId13" xr:uid="{07EF0D22-C56D-5241-BEBE-F5D060DB71E2}"/>
    <hyperlink ref="I3" r:id="rId14" xr:uid="{6169FD18-77B3-3043-AC11-CF5D09E219BF}"/>
    <hyperlink ref="I4" r:id="rId15" xr:uid="{2A164908-570E-7D48-A62D-AF59FADF7366}"/>
    <hyperlink ref="I5" r:id="rId16" xr:uid="{12CAEA59-10B5-D642-8AD1-8A60DF0AB5C4}"/>
    <hyperlink ref="I6" r:id="rId17" xr:uid="{3FAF5838-D19A-F64B-9FE3-73A7AF6D9311}"/>
    <hyperlink ref="I7" r:id="rId18" xr:uid="{19BFEEDF-3C90-6742-BBD2-89475F998BCB}"/>
    <hyperlink ref="I8" r:id="rId19" xr:uid="{990A260D-7EA5-664B-9972-19FD1A02E9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19E5-445D-487E-B838-4553AAB5BC85}">
  <dimension ref="B1:I25"/>
  <sheetViews>
    <sheetView zoomScale="124" zoomScaleNormal="124" workbookViewId="0">
      <selection activeCell="B25" sqref="B25:I25"/>
    </sheetView>
  </sheetViews>
  <sheetFormatPr defaultColWidth="8.77734375" defaultRowHeight="14.4"/>
  <cols>
    <col min="2" max="2" width="55.33203125" customWidth="1"/>
    <col min="3" max="3" width="19.33203125" bestFit="1" customWidth="1"/>
    <col min="4" max="4" width="14.77734375" customWidth="1"/>
    <col min="5" max="5" width="14" customWidth="1"/>
    <col min="6" max="7" width="17.33203125" customWidth="1"/>
    <col min="8" max="8" width="17.6640625" customWidth="1"/>
    <col min="9" max="9" width="20" customWidth="1"/>
  </cols>
  <sheetData>
    <row r="1" spans="2:9" ht="17.399999999999999">
      <c r="B1" s="14" t="s">
        <v>36</v>
      </c>
      <c r="C1" s="15" t="s">
        <v>1</v>
      </c>
      <c r="D1" s="15" t="s">
        <v>28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 ht="21" customHeight="1">
      <c r="B2" s="1" t="s">
        <v>153</v>
      </c>
      <c r="C2" s="8" t="s">
        <v>19</v>
      </c>
      <c r="D2" s="8" t="s">
        <v>9</v>
      </c>
      <c r="E2" s="4">
        <v>1640</v>
      </c>
      <c r="F2" s="8" t="s">
        <v>14</v>
      </c>
      <c r="G2" s="5">
        <f>(H2*E2)/12</f>
        <v>25283.333333333332</v>
      </c>
      <c r="H2" s="5">
        <v>185</v>
      </c>
      <c r="I2" s="7" t="s">
        <v>11</v>
      </c>
    </row>
    <row r="3" spans="2:9" ht="15" customHeight="1">
      <c r="B3" s="1" t="s">
        <v>250</v>
      </c>
      <c r="C3" s="8" t="s">
        <v>51</v>
      </c>
      <c r="D3" s="8" t="s">
        <v>9</v>
      </c>
      <c r="E3" s="4">
        <v>1665</v>
      </c>
      <c r="F3" s="8" t="s">
        <v>14</v>
      </c>
      <c r="G3" s="5">
        <f>(H3*E3)/12</f>
        <v>28443.75</v>
      </c>
      <c r="H3" s="5">
        <v>205</v>
      </c>
      <c r="I3" s="7" t="s">
        <v>21</v>
      </c>
    </row>
    <row r="4" spans="2:9">
      <c r="B4" s="1" t="s">
        <v>157</v>
      </c>
      <c r="C4" s="8" t="s">
        <v>42</v>
      </c>
      <c r="D4" s="8" t="s">
        <v>16</v>
      </c>
      <c r="E4" s="4">
        <v>1281</v>
      </c>
      <c r="F4" s="4" t="s">
        <v>14</v>
      </c>
      <c r="G4" s="5">
        <f t="shared" ref="G4:G8" si="0">(H4*E4)/12</f>
        <v>17880.625</v>
      </c>
      <c r="H4" s="19">
        <v>167.5</v>
      </c>
      <c r="I4" s="13" t="s">
        <v>11</v>
      </c>
    </row>
    <row r="5" spans="2:9">
      <c r="B5" s="1" t="s">
        <v>157</v>
      </c>
      <c r="C5" s="8" t="s">
        <v>8</v>
      </c>
      <c r="D5" s="8" t="s">
        <v>16</v>
      </c>
      <c r="E5" s="4">
        <v>1776</v>
      </c>
      <c r="F5" s="4" t="s">
        <v>14</v>
      </c>
      <c r="G5" s="5">
        <f t="shared" si="0"/>
        <v>24346</v>
      </c>
      <c r="H5" s="19">
        <v>164.5</v>
      </c>
      <c r="I5" s="13" t="s">
        <v>11</v>
      </c>
    </row>
    <row r="6" spans="2:9">
      <c r="B6" s="1" t="s">
        <v>157</v>
      </c>
      <c r="C6" s="8" t="s">
        <v>35</v>
      </c>
      <c r="D6" s="8" t="s">
        <v>16</v>
      </c>
      <c r="E6" s="4">
        <v>1776</v>
      </c>
      <c r="F6" s="4" t="s">
        <v>14</v>
      </c>
      <c r="G6" s="5">
        <f t="shared" si="0"/>
        <v>23976</v>
      </c>
      <c r="H6" s="19">
        <v>162</v>
      </c>
      <c r="I6" s="13" t="s">
        <v>11</v>
      </c>
    </row>
    <row r="7" spans="2:9">
      <c r="B7" s="1" t="s">
        <v>157</v>
      </c>
      <c r="C7" s="8" t="s">
        <v>19</v>
      </c>
      <c r="D7" s="8" t="s">
        <v>16</v>
      </c>
      <c r="E7" s="4">
        <v>1776</v>
      </c>
      <c r="F7" s="4" t="s">
        <v>14</v>
      </c>
      <c r="G7" s="5">
        <f t="shared" si="0"/>
        <v>23680</v>
      </c>
      <c r="H7" s="19">
        <v>160</v>
      </c>
      <c r="I7" s="13" t="s">
        <v>11</v>
      </c>
    </row>
    <row r="8" spans="2:9">
      <c r="B8" s="1" t="s">
        <v>157</v>
      </c>
      <c r="C8" s="8" t="s">
        <v>23</v>
      </c>
      <c r="D8" s="8" t="s">
        <v>16</v>
      </c>
      <c r="E8" s="4">
        <v>1776</v>
      </c>
      <c r="F8" s="4" t="s">
        <v>14</v>
      </c>
      <c r="G8" s="5">
        <f t="shared" si="0"/>
        <v>23310</v>
      </c>
      <c r="H8" s="19">
        <v>157.5</v>
      </c>
      <c r="I8" s="13" t="s">
        <v>11</v>
      </c>
    </row>
    <row r="9" spans="2:9">
      <c r="B9" s="1" t="s">
        <v>157</v>
      </c>
      <c r="C9" s="8" t="s">
        <v>20</v>
      </c>
      <c r="D9" s="8" t="s">
        <v>9</v>
      </c>
      <c r="E9" s="4">
        <v>1776</v>
      </c>
      <c r="F9" s="4" t="s">
        <v>14</v>
      </c>
      <c r="G9" s="5">
        <f t="shared" ref="G9:G15" si="1">(H9*E9)/12</f>
        <v>21830</v>
      </c>
      <c r="H9" s="19">
        <v>147.5</v>
      </c>
      <c r="I9" s="13" t="s">
        <v>11</v>
      </c>
    </row>
    <row r="10" spans="2:9">
      <c r="B10" s="1" t="s">
        <v>157</v>
      </c>
      <c r="C10" s="8" t="s">
        <v>13</v>
      </c>
      <c r="D10" s="8" t="s">
        <v>9</v>
      </c>
      <c r="E10" s="4">
        <v>1410</v>
      </c>
      <c r="F10" s="4" t="s">
        <v>14</v>
      </c>
      <c r="G10" s="5">
        <f t="shared" si="1"/>
        <v>17037.5</v>
      </c>
      <c r="H10" s="19">
        <v>145</v>
      </c>
      <c r="I10" s="13" t="s">
        <v>11</v>
      </c>
    </row>
    <row r="11" spans="2:9">
      <c r="B11" s="1" t="s">
        <v>241</v>
      </c>
      <c r="C11" s="8" t="s">
        <v>23</v>
      </c>
      <c r="D11" s="8" t="s">
        <v>16</v>
      </c>
      <c r="E11" s="4">
        <v>1861</v>
      </c>
      <c r="F11" s="4" t="s">
        <v>14</v>
      </c>
      <c r="G11" s="5">
        <f t="shared" si="1"/>
        <v>36444.583333333336</v>
      </c>
      <c r="H11" s="5">
        <v>235</v>
      </c>
      <c r="I11" s="13" t="s">
        <v>11</v>
      </c>
    </row>
    <row r="12" spans="2:9">
      <c r="B12" s="1" t="s">
        <v>241</v>
      </c>
      <c r="C12" s="8" t="s">
        <v>20</v>
      </c>
      <c r="D12" s="8" t="s">
        <v>16</v>
      </c>
      <c r="E12" s="4">
        <v>1860</v>
      </c>
      <c r="F12" s="4" t="s">
        <v>14</v>
      </c>
      <c r="G12" s="5">
        <f t="shared" si="1"/>
        <v>33325</v>
      </c>
      <c r="H12" s="5">
        <v>215</v>
      </c>
      <c r="I12" s="13" t="s">
        <v>11</v>
      </c>
    </row>
    <row r="13" spans="2:9">
      <c r="B13" s="1" t="s">
        <v>241</v>
      </c>
      <c r="C13" s="8" t="s">
        <v>40</v>
      </c>
      <c r="D13" s="8" t="s">
        <v>9</v>
      </c>
      <c r="E13" s="4">
        <v>1843</v>
      </c>
      <c r="F13" s="4" t="s">
        <v>14</v>
      </c>
      <c r="G13" s="5">
        <f t="shared" si="1"/>
        <v>32252.5</v>
      </c>
      <c r="H13" s="5">
        <v>210</v>
      </c>
      <c r="I13" s="13" t="s">
        <v>11</v>
      </c>
    </row>
    <row r="14" spans="2:9">
      <c r="B14" s="1" t="s">
        <v>241</v>
      </c>
      <c r="C14" s="8" t="s">
        <v>101</v>
      </c>
      <c r="D14" s="8" t="s">
        <v>9</v>
      </c>
      <c r="E14" s="4">
        <v>2754</v>
      </c>
      <c r="F14" s="4" t="s">
        <v>14</v>
      </c>
      <c r="G14" s="5">
        <f t="shared" si="1"/>
        <v>40162.5</v>
      </c>
      <c r="H14" s="5">
        <v>175</v>
      </c>
      <c r="I14" s="13" t="s">
        <v>11</v>
      </c>
    </row>
    <row r="15" spans="2:9">
      <c r="B15" s="1" t="s">
        <v>124</v>
      </c>
      <c r="C15" s="8" t="s">
        <v>19</v>
      </c>
      <c r="D15" s="8" t="s">
        <v>9</v>
      </c>
      <c r="E15" s="4">
        <v>1813</v>
      </c>
      <c r="F15" s="4" t="s">
        <v>14</v>
      </c>
      <c r="G15" s="5">
        <f t="shared" si="1"/>
        <v>33238.333333333336</v>
      </c>
      <c r="H15" s="5">
        <v>220</v>
      </c>
      <c r="I15" s="13" t="s">
        <v>21</v>
      </c>
    </row>
    <row r="16" spans="2:9">
      <c r="B16" s="1" t="s">
        <v>118</v>
      </c>
      <c r="C16" s="8" t="s">
        <v>40</v>
      </c>
      <c r="D16" s="8" t="s">
        <v>9</v>
      </c>
      <c r="E16" s="4">
        <v>2214</v>
      </c>
      <c r="F16" s="8" t="s">
        <v>14</v>
      </c>
      <c r="G16" s="5">
        <f t="shared" ref="G16" si="2">(H16*E16)/12</f>
        <v>27675</v>
      </c>
      <c r="H16" s="5">
        <v>150</v>
      </c>
      <c r="I16" s="7" t="s">
        <v>11</v>
      </c>
    </row>
    <row r="17" spans="2:9">
      <c r="B17" s="1" t="s">
        <v>147</v>
      </c>
      <c r="C17" s="8" t="s">
        <v>20</v>
      </c>
      <c r="D17" s="8" t="s">
        <v>9</v>
      </c>
      <c r="E17" s="4">
        <v>2339</v>
      </c>
      <c r="F17" s="8" t="s">
        <v>14</v>
      </c>
      <c r="G17" s="5">
        <f>(H17*E17)/12</f>
        <v>31186.666666666668</v>
      </c>
      <c r="H17" s="5">
        <v>160</v>
      </c>
      <c r="I17" s="7" t="s">
        <v>11</v>
      </c>
    </row>
    <row r="18" spans="2:9">
      <c r="B18" s="21" t="s">
        <v>252</v>
      </c>
      <c r="C18" s="22" t="s">
        <v>24</v>
      </c>
      <c r="D18" s="22" t="s">
        <v>9</v>
      </c>
      <c r="E18" s="23">
        <v>3546</v>
      </c>
      <c r="F18" s="22" t="s">
        <v>14</v>
      </c>
      <c r="G18" s="24">
        <f>(H18*E18)/12</f>
        <v>41370</v>
      </c>
      <c r="H18" s="24">
        <v>140</v>
      </c>
      <c r="I18" s="25" t="s">
        <v>37</v>
      </c>
    </row>
    <row r="19" spans="2:9">
      <c r="B19" s="1" t="s">
        <v>190</v>
      </c>
      <c r="C19" s="8" t="s">
        <v>35</v>
      </c>
      <c r="D19" s="8" t="s">
        <v>191</v>
      </c>
      <c r="E19" s="4">
        <v>4703</v>
      </c>
      <c r="F19" s="8" t="s">
        <v>14</v>
      </c>
      <c r="G19" s="5">
        <f>(H19*E19)/12</f>
        <v>68585.416666666672</v>
      </c>
      <c r="H19" s="5">
        <v>175</v>
      </c>
      <c r="I19" s="7" t="s">
        <v>38</v>
      </c>
    </row>
    <row r="20" spans="2:9">
      <c r="B20" s="1" t="s">
        <v>148</v>
      </c>
      <c r="C20" s="8" t="s">
        <v>20</v>
      </c>
      <c r="D20" s="8" t="s">
        <v>16</v>
      </c>
      <c r="E20" s="4">
        <v>5788</v>
      </c>
      <c r="F20" s="8" t="s">
        <v>14</v>
      </c>
      <c r="G20" s="5">
        <f>(H20*E20)/12</f>
        <v>86820</v>
      </c>
      <c r="H20" s="16">
        <v>180</v>
      </c>
      <c r="I20" s="13" t="s">
        <v>37</v>
      </c>
    </row>
    <row r="21" spans="2:9">
      <c r="B21" s="1" t="s">
        <v>194</v>
      </c>
      <c r="C21" s="8" t="s">
        <v>48</v>
      </c>
      <c r="D21" s="8" t="s">
        <v>16</v>
      </c>
      <c r="E21" s="4">
        <v>8082</v>
      </c>
      <c r="F21" s="8" t="s">
        <v>14</v>
      </c>
      <c r="G21" s="5">
        <f t="shared" ref="G21:G25" si="3">(H21*E21)/12</f>
        <v>138067.5</v>
      </c>
      <c r="H21" s="16">
        <v>205</v>
      </c>
      <c r="I21" s="7" t="s">
        <v>21</v>
      </c>
    </row>
    <row r="22" spans="2:9">
      <c r="B22" s="1" t="s">
        <v>195</v>
      </c>
      <c r="C22" s="8" t="s">
        <v>18</v>
      </c>
      <c r="D22" s="8" t="s">
        <v>16</v>
      </c>
      <c r="E22" s="4">
        <v>8082</v>
      </c>
      <c r="F22" s="8" t="s">
        <v>14</v>
      </c>
      <c r="G22" s="5">
        <f t="shared" si="3"/>
        <v>138067.5</v>
      </c>
      <c r="H22" s="16">
        <v>205</v>
      </c>
      <c r="I22" s="7" t="s">
        <v>21</v>
      </c>
    </row>
    <row r="23" spans="2:9">
      <c r="B23" s="1" t="s">
        <v>194</v>
      </c>
      <c r="C23" s="8" t="s">
        <v>42</v>
      </c>
      <c r="D23" s="8" t="s">
        <v>16</v>
      </c>
      <c r="E23" s="4">
        <v>11060</v>
      </c>
      <c r="F23" s="8" t="s">
        <v>14</v>
      </c>
      <c r="G23" s="5">
        <f t="shared" si="3"/>
        <v>179725</v>
      </c>
      <c r="H23" s="16">
        <v>195</v>
      </c>
      <c r="I23" s="7" t="s">
        <v>21</v>
      </c>
    </row>
    <row r="24" spans="2:9">
      <c r="B24" s="1" t="s">
        <v>242</v>
      </c>
      <c r="C24" s="8" t="s">
        <v>20</v>
      </c>
      <c r="D24" s="8" t="s">
        <v>16</v>
      </c>
      <c r="E24" s="4">
        <v>14065</v>
      </c>
      <c r="F24" s="8" t="s">
        <v>14</v>
      </c>
      <c r="G24" s="5">
        <f t="shared" si="3"/>
        <v>222695.83333333334</v>
      </c>
      <c r="H24" s="5">
        <v>190</v>
      </c>
      <c r="I24" s="13" t="s">
        <v>44</v>
      </c>
    </row>
    <row r="25" spans="2:9">
      <c r="B25" s="21" t="s">
        <v>248</v>
      </c>
      <c r="C25" s="22" t="s">
        <v>35</v>
      </c>
      <c r="D25" s="22" t="s">
        <v>9</v>
      </c>
      <c r="E25" s="23">
        <v>16120</v>
      </c>
      <c r="F25" s="22" t="s">
        <v>43</v>
      </c>
      <c r="G25" s="24">
        <f t="shared" si="3"/>
        <v>235083.33333333334</v>
      </c>
      <c r="H25" s="24">
        <v>175</v>
      </c>
      <c r="I25" s="32" t="s">
        <v>11</v>
      </c>
    </row>
  </sheetData>
  <phoneticPr fontId="4" type="noConversion"/>
  <hyperlinks>
    <hyperlink ref="I15" r:id="rId1" xr:uid="{E7F772B0-82FA-6E4B-8260-1F7DF61AE8F4}"/>
    <hyperlink ref="I17" r:id="rId2" xr:uid="{09E6C332-8208-1E4D-BCFC-E3BA2CFD4834}"/>
    <hyperlink ref="I4" r:id="rId3" xr:uid="{EC542187-09A3-334D-9B2B-41B3BD06D8BE}"/>
    <hyperlink ref="I5" r:id="rId4" xr:uid="{FF239287-6DE8-874B-8F44-E85F1495008C}"/>
    <hyperlink ref="I6" r:id="rId5" xr:uid="{ECAB7B01-499D-734F-B4C7-07D326F9C020}"/>
    <hyperlink ref="I7" r:id="rId6" xr:uid="{2FD66BBF-2E34-BB4C-802F-96E7E5E27FA6}"/>
    <hyperlink ref="I8" r:id="rId7" xr:uid="{C8795AF2-0604-BB47-A778-C38DC9D828E8}"/>
    <hyperlink ref="I9" r:id="rId8" xr:uid="{4AE35522-CBE8-B54F-89DD-01AF508B7651}"/>
    <hyperlink ref="I10" r:id="rId9" xr:uid="{8EA0C1AF-4067-0245-87E9-2C7FB313AED5}"/>
    <hyperlink ref="I19" r:id="rId10" xr:uid="{5CC38566-AA37-3B45-83AE-94B279F5D343}"/>
    <hyperlink ref="I16" r:id="rId11" xr:uid="{63AFC2BD-CDA3-9D43-98B4-75EB7F1B8415}"/>
    <hyperlink ref="I23" r:id="rId12" xr:uid="{66DBB84C-E6C1-EE4E-B542-F54624FC96BF}"/>
    <hyperlink ref="I22" r:id="rId13" xr:uid="{3E314EDD-CA1A-F346-87F3-BE5593A32ED4}"/>
    <hyperlink ref="I21" r:id="rId14" xr:uid="{EBCB07C0-7A56-414B-B2E0-CB7FCC1636D5}"/>
    <hyperlink ref="I2" r:id="rId15" xr:uid="{2CBF9C33-8381-D140-998C-31F66B058835}"/>
    <hyperlink ref="I24" r:id="rId16" xr:uid="{456466F8-A9B1-C645-B432-7B469108D488}"/>
    <hyperlink ref="I25" r:id="rId17" xr:uid="{8268744F-AC67-8E49-96B9-A5176D669DAE}"/>
    <hyperlink ref="I3" r:id="rId18" xr:uid="{7E4E8468-4B0C-7542-90F1-E4D068128BCC}"/>
    <hyperlink ref="I11" r:id="rId19" xr:uid="{BFE0D36A-E750-8F40-B3ED-D7495A44FCC8}"/>
    <hyperlink ref="I12" r:id="rId20" xr:uid="{8901DB73-D0E7-6A49-A9C8-FDA40DDEFFAA}"/>
    <hyperlink ref="I13" r:id="rId21" xr:uid="{777942EF-6646-BB49-B172-28ECFEC1932A}"/>
    <hyperlink ref="I14" r:id="rId22" xr:uid="{8D7AD5C6-A87C-BC4E-B67E-19DE835AC43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0117-9652-4CF2-B6FF-E7682039DEB2}">
  <dimension ref="B1:I20"/>
  <sheetViews>
    <sheetView zoomScale="124" zoomScaleNormal="124" workbookViewId="0">
      <selection activeCell="B10" sqref="B10:I11"/>
    </sheetView>
  </sheetViews>
  <sheetFormatPr defaultColWidth="8.77734375" defaultRowHeight="14.4"/>
  <cols>
    <col min="2" max="2" width="51.44140625" customWidth="1"/>
    <col min="3" max="3" width="25" customWidth="1"/>
    <col min="4" max="4" width="15.77734375" bestFit="1" customWidth="1"/>
    <col min="5" max="5" width="14" customWidth="1"/>
    <col min="6" max="6" width="18.109375" customWidth="1"/>
    <col min="7" max="7" width="13.77734375" customWidth="1"/>
    <col min="8" max="8" width="16.33203125" customWidth="1"/>
    <col min="9" max="9" width="21" customWidth="1"/>
  </cols>
  <sheetData>
    <row r="1" spans="2:9" ht="17.399999999999999">
      <c r="B1" s="14" t="s">
        <v>126</v>
      </c>
      <c r="C1" s="15" t="s">
        <v>1</v>
      </c>
      <c r="D1" s="15" t="s">
        <v>28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>
      <c r="B2" s="1" t="s">
        <v>218</v>
      </c>
      <c r="C2" s="8" t="s">
        <v>32</v>
      </c>
      <c r="D2" s="8" t="s">
        <v>9</v>
      </c>
      <c r="E2" s="4">
        <v>1305</v>
      </c>
      <c r="F2" s="8" t="s">
        <v>14</v>
      </c>
      <c r="G2" s="5">
        <f t="shared" ref="G2:G9" si="0">(H2*E2)/12</f>
        <v>18487.5</v>
      </c>
      <c r="H2" s="5">
        <v>170</v>
      </c>
      <c r="I2" s="7" t="s">
        <v>11</v>
      </c>
    </row>
    <row r="3" spans="2:9">
      <c r="B3" s="1" t="s">
        <v>218</v>
      </c>
      <c r="C3" s="8" t="s">
        <v>23</v>
      </c>
      <c r="D3" s="8" t="s">
        <v>9</v>
      </c>
      <c r="E3" s="4">
        <v>1579</v>
      </c>
      <c r="F3" s="8" t="s">
        <v>14</v>
      </c>
      <c r="G3" s="5">
        <f t="shared" si="0"/>
        <v>22369.166666666668</v>
      </c>
      <c r="H3" s="5">
        <v>170</v>
      </c>
      <c r="I3" s="7" t="s">
        <v>11</v>
      </c>
    </row>
    <row r="4" spans="2:9">
      <c r="B4" s="1" t="s">
        <v>127</v>
      </c>
      <c r="C4" s="8" t="s">
        <v>13</v>
      </c>
      <c r="D4" s="8" t="s">
        <v>9</v>
      </c>
      <c r="E4" s="4">
        <v>2222</v>
      </c>
      <c r="F4" s="8" t="s">
        <v>14</v>
      </c>
      <c r="G4" s="5">
        <f t="shared" si="0"/>
        <v>27312.083333333332</v>
      </c>
      <c r="H4" s="19">
        <v>147.5</v>
      </c>
      <c r="I4" s="7" t="s">
        <v>44</v>
      </c>
    </row>
    <row r="5" spans="2:9">
      <c r="B5" s="1" t="s">
        <v>118</v>
      </c>
      <c r="C5" s="8" t="s">
        <v>40</v>
      </c>
      <c r="D5" s="8" t="s">
        <v>9</v>
      </c>
      <c r="E5" s="4">
        <v>2214</v>
      </c>
      <c r="F5" s="8" t="s">
        <v>14</v>
      </c>
      <c r="G5" s="5">
        <f t="shared" si="0"/>
        <v>27675</v>
      </c>
      <c r="H5" s="5">
        <v>150</v>
      </c>
      <c r="I5" s="7" t="s">
        <v>11</v>
      </c>
    </row>
    <row r="6" spans="2:9">
      <c r="B6" s="1" t="s">
        <v>128</v>
      </c>
      <c r="C6" s="8" t="s">
        <v>19</v>
      </c>
      <c r="D6" s="8" t="s">
        <v>9</v>
      </c>
      <c r="E6" s="4">
        <v>2889</v>
      </c>
      <c r="F6" s="8" t="s">
        <v>14</v>
      </c>
      <c r="G6" s="5">
        <f t="shared" si="0"/>
        <v>45140.625</v>
      </c>
      <c r="H6" s="19">
        <v>187.5</v>
      </c>
      <c r="I6" s="7" t="s">
        <v>11</v>
      </c>
    </row>
    <row r="7" spans="2:9">
      <c r="B7" s="1" t="s">
        <v>161</v>
      </c>
      <c r="C7" s="8" t="s">
        <v>19</v>
      </c>
      <c r="D7" s="8" t="s">
        <v>9</v>
      </c>
      <c r="E7" s="4">
        <v>2569</v>
      </c>
      <c r="F7" s="8" t="s">
        <v>14</v>
      </c>
      <c r="G7" s="5">
        <f t="shared" si="0"/>
        <v>53520.833333333336</v>
      </c>
      <c r="H7" s="5">
        <v>250</v>
      </c>
      <c r="I7" s="7" t="s">
        <v>11</v>
      </c>
    </row>
    <row r="8" spans="2:9">
      <c r="B8" s="1" t="s">
        <v>228</v>
      </c>
      <c r="C8" s="8" t="s">
        <v>20</v>
      </c>
      <c r="D8" s="8" t="s">
        <v>9</v>
      </c>
      <c r="E8" s="4">
        <v>2742</v>
      </c>
      <c r="F8" s="8" t="s">
        <v>231</v>
      </c>
      <c r="G8" s="5">
        <f t="shared" si="0"/>
        <v>49127.5</v>
      </c>
      <c r="H8" s="5">
        <v>215</v>
      </c>
      <c r="I8" s="7" t="s">
        <v>44</v>
      </c>
    </row>
    <row r="9" spans="2:9">
      <c r="B9" s="1" t="s">
        <v>151</v>
      </c>
      <c r="C9" s="8" t="s">
        <v>40</v>
      </c>
      <c r="D9" s="8" t="s">
        <v>9</v>
      </c>
      <c r="E9" s="4">
        <v>5500</v>
      </c>
      <c r="F9" s="8" t="s">
        <v>14</v>
      </c>
      <c r="G9" s="5">
        <f t="shared" si="0"/>
        <v>80208.333333333328</v>
      </c>
      <c r="H9" s="5">
        <v>175</v>
      </c>
      <c r="I9" s="7" t="s">
        <v>11</v>
      </c>
    </row>
    <row r="10" spans="2:9">
      <c r="B10" s="21" t="s">
        <v>240</v>
      </c>
      <c r="C10" s="22" t="s">
        <v>20</v>
      </c>
      <c r="D10" s="22" t="s">
        <v>9</v>
      </c>
      <c r="E10" s="23">
        <v>6331</v>
      </c>
      <c r="F10" s="22" t="s">
        <v>14</v>
      </c>
      <c r="G10" s="24">
        <f t="shared" ref="G10:G11" si="1">(H10*E10)/12</f>
        <v>92327.083333333328</v>
      </c>
      <c r="H10" s="24">
        <v>175</v>
      </c>
      <c r="I10" s="25" t="s">
        <v>44</v>
      </c>
    </row>
    <row r="11" spans="2:9">
      <c r="B11" s="21" t="s">
        <v>240</v>
      </c>
      <c r="C11" s="22" t="s">
        <v>13</v>
      </c>
      <c r="D11" s="22" t="s">
        <v>9</v>
      </c>
      <c r="E11" s="23">
        <v>6356</v>
      </c>
      <c r="F11" s="22" t="s">
        <v>14</v>
      </c>
      <c r="G11" s="24">
        <f t="shared" si="1"/>
        <v>92691.666666666672</v>
      </c>
      <c r="H11" s="24">
        <v>175</v>
      </c>
      <c r="I11" s="25" t="s">
        <v>44</v>
      </c>
    </row>
    <row r="12" spans="2:9">
      <c r="B12" s="1" t="s">
        <v>121</v>
      </c>
      <c r="C12" s="8" t="s">
        <v>13</v>
      </c>
      <c r="D12" s="8" t="s">
        <v>122</v>
      </c>
      <c r="E12" s="4">
        <v>6580</v>
      </c>
      <c r="F12" s="8" t="s">
        <v>14</v>
      </c>
      <c r="G12" s="5">
        <f>(H12*E12)/12</f>
        <v>84991.666666666672</v>
      </c>
      <c r="H12" s="5">
        <v>155</v>
      </c>
      <c r="I12" s="13" t="s">
        <v>44</v>
      </c>
    </row>
    <row r="13" spans="2:9">
      <c r="B13" s="1" t="s">
        <v>243</v>
      </c>
      <c r="C13" s="8" t="s">
        <v>8</v>
      </c>
      <c r="D13" s="8" t="s">
        <v>16</v>
      </c>
      <c r="E13" s="4">
        <v>6035</v>
      </c>
      <c r="F13" s="8" t="s">
        <v>14</v>
      </c>
      <c r="G13" s="5">
        <f>(H13*E13)/12</f>
        <v>90525</v>
      </c>
      <c r="H13" s="5">
        <v>180</v>
      </c>
      <c r="I13" s="13" t="s">
        <v>44</v>
      </c>
    </row>
    <row r="14" spans="2:9">
      <c r="B14" s="1" t="s">
        <v>120</v>
      </c>
      <c r="C14" s="8" t="s">
        <v>13</v>
      </c>
      <c r="D14" s="8" t="s">
        <v>16</v>
      </c>
      <c r="E14" s="4">
        <v>8356</v>
      </c>
      <c r="F14" s="8" t="s">
        <v>14</v>
      </c>
      <c r="G14" s="5">
        <f>(H14*E14)/12</f>
        <v>107931.66666666667</v>
      </c>
      <c r="H14" s="5">
        <v>155</v>
      </c>
      <c r="I14" s="13" t="s">
        <v>44</v>
      </c>
    </row>
    <row r="15" spans="2:9">
      <c r="B15" s="1" t="s">
        <v>194</v>
      </c>
      <c r="C15" s="8" t="s">
        <v>48</v>
      </c>
      <c r="D15" s="8" t="s">
        <v>16</v>
      </c>
      <c r="E15" s="4">
        <v>8082</v>
      </c>
      <c r="F15" s="8" t="s">
        <v>14</v>
      </c>
      <c r="G15" s="5">
        <f t="shared" ref="G15:G17" si="2">(H15*E15)/12</f>
        <v>141435</v>
      </c>
      <c r="H15" s="5">
        <v>210</v>
      </c>
      <c r="I15" s="7" t="s">
        <v>21</v>
      </c>
    </row>
    <row r="16" spans="2:9">
      <c r="B16" s="1" t="s">
        <v>195</v>
      </c>
      <c r="C16" s="8" t="s">
        <v>18</v>
      </c>
      <c r="D16" s="8" t="s">
        <v>16</v>
      </c>
      <c r="E16" s="4">
        <v>8082</v>
      </c>
      <c r="F16" s="8" t="s">
        <v>14</v>
      </c>
      <c r="G16" s="5">
        <f t="shared" si="2"/>
        <v>141435</v>
      </c>
      <c r="H16" s="5">
        <v>210</v>
      </c>
      <c r="I16" s="7" t="s">
        <v>21</v>
      </c>
    </row>
    <row r="17" spans="2:9">
      <c r="B17" s="1" t="s">
        <v>194</v>
      </c>
      <c r="C17" s="8" t="s">
        <v>42</v>
      </c>
      <c r="D17" s="8" t="s">
        <v>16</v>
      </c>
      <c r="E17" s="4">
        <v>11060</v>
      </c>
      <c r="F17" s="8" t="s">
        <v>14</v>
      </c>
      <c r="G17" s="5">
        <f t="shared" si="2"/>
        <v>156683.33333333334</v>
      </c>
      <c r="H17" s="5">
        <v>170</v>
      </c>
      <c r="I17" s="7" t="s">
        <v>21</v>
      </c>
    </row>
    <row r="18" spans="2:9">
      <c r="B18" s="1" t="s">
        <v>154</v>
      </c>
      <c r="C18" s="8" t="s">
        <v>155</v>
      </c>
      <c r="D18" s="8" t="s">
        <v>16</v>
      </c>
      <c r="E18" s="4">
        <v>7000</v>
      </c>
      <c r="F18" s="8" t="s">
        <v>14</v>
      </c>
      <c r="G18" s="5">
        <f t="shared" ref="G18:G20" si="3">(H18*E18)/12</f>
        <v>107916.66666666667</v>
      </c>
      <c r="H18" s="5">
        <v>185</v>
      </c>
      <c r="I18" s="13" t="s">
        <v>44</v>
      </c>
    </row>
    <row r="19" spans="2:9">
      <c r="B19" s="1" t="s">
        <v>154</v>
      </c>
      <c r="C19" s="8" t="s">
        <v>20</v>
      </c>
      <c r="D19" s="8" t="s">
        <v>9</v>
      </c>
      <c r="E19" s="4">
        <v>12808</v>
      </c>
      <c r="F19" s="8" t="s">
        <v>14</v>
      </c>
      <c r="G19" s="5">
        <f t="shared" si="3"/>
        <v>197456.66666666666</v>
      </c>
      <c r="H19" s="5">
        <v>185</v>
      </c>
      <c r="I19" s="13" t="s">
        <v>44</v>
      </c>
    </row>
    <row r="20" spans="2:9">
      <c r="B20" s="1" t="s">
        <v>242</v>
      </c>
      <c r="C20" s="8" t="s">
        <v>20</v>
      </c>
      <c r="D20" s="8" t="s">
        <v>16</v>
      </c>
      <c r="E20" s="4">
        <v>14065</v>
      </c>
      <c r="F20" s="8" t="s">
        <v>14</v>
      </c>
      <c r="G20" s="5">
        <f t="shared" si="3"/>
        <v>228556.25</v>
      </c>
      <c r="H20" s="5">
        <v>195</v>
      </c>
      <c r="I20" s="13" t="s">
        <v>44</v>
      </c>
    </row>
  </sheetData>
  <phoneticPr fontId="4" type="noConversion"/>
  <hyperlinks>
    <hyperlink ref="I5" r:id="rId1" xr:uid="{F4448AD8-81C4-FF49-8DFB-1C2B2C33FF34}"/>
    <hyperlink ref="I6" r:id="rId2" xr:uid="{2324CB77-BC9F-F144-B637-E1A48C6BF86A}"/>
    <hyperlink ref="I12" r:id="rId3" xr:uid="{D12F1726-F9D5-2847-8D1B-EBAC1574A266}"/>
    <hyperlink ref="I4" r:id="rId4" xr:uid="{0D47AE77-B625-1443-AB7B-D8B789E9FD18}"/>
    <hyperlink ref="I9" r:id="rId5" xr:uid="{EC9E58CB-01E3-5E41-8050-67900B24E511}"/>
    <hyperlink ref="I18" r:id="rId6" xr:uid="{F6A7CD96-1B9E-CA47-BDF6-6F7F423D2677}"/>
    <hyperlink ref="I19" r:id="rId7" xr:uid="{6E4A2E04-3677-4540-AEC4-C4463B2EB1D8}"/>
    <hyperlink ref="I14" r:id="rId8" xr:uid="{D3AAB2CA-B94A-3643-9313-2728AC1ECD35}"/>
    <hyperlink ref="I2" r:id="rId9" xr:uid="{66705F2F-BFA3-324D-8633-D8D4B4B02806}"/>
    <hyperlink ref="I3" r:id="rId10" xr:uid="{1CAA6285-0891-EB4A-B3D3-7BAC3807E195}"/>
    <hyperlink ref="I7" r:id="rId11" xr:uid="{591A9780-2DB8-DC48-94A3-F1A22B8BA846}"/>
    <hyperlink ref="I8" r:id="rId12" xr:uid="{BFE8C637-9A60-7C45-8795-018060105C4B}"/>
    <hyperlink ref="I10" r:id="rId13" xr:uid="{66DF4757-0402-A640-8D35-F3D92DB6F4C1}"/>
    <hyperlink ref="I11" r:id="rId14" xr:uid="{499C8F78-21A8-2E4B-9E04-F7CF6D341332}"/>
    <hyperlink ref="I20" r:id="rId15" xr:uid="{D65EA93B-61EF-F24B-91B5-DC994FB8EC91}"/>
    <hyperlink ref="I13" r:id="rId16" xr:uid="{BD862BB5-D089-344D-8116-AA33DDF9A7E0}"/>
    <hyperlink ref="I17" r:id="rId17" xr:uid="{48523ACE-C295-124D-8ECE-3FFC6981641E}"/>
    <hyperlink ref="I16" r:id="rId18" xr:uid="{4D9B0A3A-8ECE-214A-801D-466B6AB17930}"/>
    <hyperlink ref="I15" r:id="rId19" xr:uid="{778C7E27-71F6-8C4F-99ED-25A0FD80A78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3227-1DAE-7148-B788-5C44A75981FD}">
  <dimension ref="B1:I23"/>
  <sheetViews>
    <sheetView zoomScale="110" zoomScaleNormal="110" workbookViewId="0">
      <selection activeCell="B7" sqref="B7:I8"/>
    </sheetView>
  </sheetViews>
  <sheetFormatPr defaultColWidth="8.77734375" defaultRowHeight="14.4"/>
  <cols>
    <col min="2" max="2" width="51.44140625" customWidth="1"/>
    <col min="3" max="3" width="27.109375" customWidth="1"/>
    <col min="4" max="4" width="17.44140625" customWidth="1"/>
    <col min="5" max="5" width="14" customWidth="1"/>
    <col min="6" max="6" width="16.44140625" customWidth="1"/>
    <col min="7" max="7" width="13.77734375" customWidth="1"/>
    <col min="8" max="8" width="16.33203125" customWidth="1"/>
    <col min="9" max="9" width="19.109375" customWidth="1"/>
  </cols>
  <sheetData>
    <row r="1" spans="2:9" ht="17.399999999999999">
      <c r="B1" s="14" t="s">
        <v>129</v>
      </c>
      <c r="C1" s="15" t="s">
        <v>1</v>
      </c>
      <c r="D1" s="15" t="s">
        <v>28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>
      <c r="B2" s="21" t="s">
        <v>256</v>
      </c>
      <c r="C2" s="22" t="s">
        <v>20</v>
      </c>
      <c r="D2" s="22" t="s">
        <v>9</v>
      </c>
      <c r="E2" s="23">
        <v>1524</v>
      </c>
      <c r="F2" s="22" t="s">
        <v>257</v>
      </c>
      <c r="G2" s="24">
        <f t="shared" ref="G2:G12" si="0">(H2*E2)/12</f>
        <v>33020</v>
      </c>
      <c r="H2" s="24">
        <v>260</v>
      </c>
      <c r="I2" s="25" t="s">
        <v>163</v>
      </c>
    </row>
    <row r="3" spans="2:9">
      <c r="B3" s="1" t="s">
        <v>130</v>
      </c>
      <c r="C3" s="8" t="s">
        <v>23</v>
      </c>
      <c r="D3" s="8" t="s">
        <v>9</v>
      </c>
      <c r="E3" s="4">
        <v>1553</v>
      </c>
      <c r="F3" s="8" t="s">
        <v>14</v>
      </c>
      <c r="G3" s="5">
        <f t="shared" si="0"/>
        <v>26530.416666666668</v>
      </c>
      <c r="H3" s="5">
        <v>205</v>
      </c>
      <c r="I3" s="7" t="s">
        <v>11</v>
      </c>
    </row>
    <row r="4" spans="2:9">
      <c r="B4" s="1" t="s">
        <v>212</v>
      </c>
      <c r="C4" s="8" t="s">
        <v>23</v>
      </c>
      <c r="D4" s="8" t="s">
        <v>9</v>
      </c>
      <c r="E4" s="4">
        <v>1569</v>
      </c>
      <c r="F4" s="8" t="s">
        <v>213</v>
      </c>
      <c r="G4" s="5">
        <f t="shared" si="0"/>
        <v>33341.25</v>
      </c>
      <c r="H4" s="5">
        <v>255</v>
      </c>
      <c r="I4" s="7" t="s">
        <v>115</v>
      </c>
    </row>
    <row r="5" spans="2:9">
      <c r="B5" s="1" t="s">
        <v>131</v>
      </c>
      <c r="C5" s="8" t="s">
        <v>23</v>
      </c>
      <c r="D5" s="8" t="s">
        <v>9</v>
      </c>
      <c r="E5" s="4">
        <v>1445</v>
      </c>
      <c r="F5" s="8" t="s">
        <v>14</v>
      </c>
      <c r="G5" s="5">
        <f t="shared" si="0"/>
        <v>25588.541666666668</v>
      </c>
      <c r="H5" s="19">
        <v>212.5</v>
      </c>
      <c r="I5" s="7" t="s">
        <v>11</v>
      </c>
    </row>
    <row r="6" spans="2:9">
      <c r="B6" s="1" t="s">
        <v>153</v>
      </c>
      <c r="C6" s="8" t="s">
        <v>19</v>
      </c>
      <c r="D6" s="8" t="s">
        <v>9</v>
      </c>
      <c r="E6" s="4">
        <v>1640</v>
      </c>
      <c r="F6" s="8" t="s">
        <v>14</v>
      </c>
      <c r="G6" s="5">
        <f t="shared" si="0"/>
        <v>25283.333333333332</v>
      </c>
      <c r="H6" s="5">
        <v>185</v>
      </c>
      <c r="I6" s="7" t="s">
        <v>11</v>
      </c>
    </row>
    <row r="7" spans="2:9">
      <c r="B7" s="21" t="s">
        <v>259</v>
      </c>
      <c r="C7" s="22" t="s">
        <v>35</v>
      </c>
      <c r="D7" s="22" t="s">
        <v>9</v>
      </c>
      <c r="E7" s="23">
        <v>1669</v>
      </c>
      <c r="F7" s="22" t="s">
        <v>14</v>
      </c>
      <c r="G7" s="24">
        <f t="shared" si="0"/>
        <v>32684.583333333332</v>
      </c>
      <c r="H7" s="24">
        <v>235</v>
      </c>
      <c r="I7" s="25" t="s">
        <v>163</v>
      </c>
    </row>
    <row r="8" spans="2:9">
      <c r="B8" s="21" t="s">
        <v>259</v>
      </c>
      <c r="C8" s="22" t="s">
        <v>23</v>
      </c>
      <c r="D8" s="22" t="s">
        <v>9</v>
      </c>
      <c r="E8" s="23">
        <v>3945</v>
      </c>
      <c r="F8" s="22" t="s">
        <v>14</v>
      </c>
      <c r="G8" s="24">
        <f t="shared" si="0"/>
        <v>70681.25</v>
      </c>
      <c r="H8" s="24">
        <v>215</v>
      </c>
      <c r="I8" s="25" t="s">
        <v>163</v>
      </c>
    </row>
    <row r="9" spans="2:9">
      <c r="B9" s="1" t="s">
        <v>147</v>
      </c>
      <c r="C9" s="8" t="s">
        <v>20</v>
      </c>
      <c r="D9" s="8" t="s">
        <v>9</v>
      </c>
      <c r="E9" s="4">
        <v>2339</v>
      </c>
      <c r="F9" s="8" t="s">
        <v>14</v>
      </c>
      <c r="G9" s="5">
        <f t="shared" si="0"/>
        <v>31186.666666666668</v>
      </c>
      <c r="H9" s="5">
        <v>160</v>
      </c>
      <c r="I9" s="7" t="s">
        <v>11</v>
      </c>
    </row>
    <row r="10" spans="2:9">
      <c r="B10" s="1" t="s">
        <v>128</v>
      </c>
      <c r="C10" s="8" t="s">
        <v>19</v>
      </c>
      <c r="D10" s="8" t="s">
        <v>9</v>
      </c>
      <c r="E10" s="4">
        <v>2889</v>
      </c>
      <c r="F10" s="8" t="s">
        <v>14</v>
      </c>
      <c r="G10" s="5">
        <f t="shared" si="0"/>
        <v>45140.625</v>
      </c>
      <c r="H10" s="19">
        <v>187.5</v>
      </c>
      <c r="I10" s="7" t="s">
        <v>11</v>
      </c>
    </row>
    <row r="11" spans="2:9">
      <c r="B11" s="1" t="s">
        <v>232</v>
      </c>
      <c r="C11" s="8" t="s">
        <v>23</v>
      </c>
      <c r="D11" s="8" t="s">
        <v>9</v>
      </c>
      <c r="E11" s="4">
        <v>2956</v>
      </c>
      <c r="F11" s="8" t="s">
        <v>14</v>
      </c>
      <c r="G11" s="5">
        <f t="shared" si="0"/>
        <v>54193.333333333336</v>
      </c>
      <c r="H11" s="5">
        <v>220</v>
      </c>
      <c r="I11" s="7" t="s">
        <v>11</v>
      </c>
    </row>
    <row r="12" spans="2:9">
      <c r="B12" s="1" t="s">
        <v>161</v>
      </c>
      <c r="C12" s="8" t="s">
        <v>19</v>
      </c>
      <c r="D12" s="8" t="s">
        <v>9</v>
      </c>
      <c r="E12" s="4">
        <v>2569</v>
      </c>
      <c r="F12" s="8" t="s">
        <v>14</v>
      </c>
      <c r="G12" s="5">
        <f t="shared" si="0"/>
        <v>48168.75</v>
      </c>
      <c r="H12" s="5">
        <v>225</v>
      </c>
      <c r="I12" s="7" t="s">
        <v>11</v>
      </c>
    </row>
    <row r="13" spans="2:9">
      <c r="B13" s="1" t="s">
        <v>205</v>
      </c>
      <c r="C13" s="8" t="s">
        <v>125</v>
      </c>
      <c r="D13" s="8" t="s">
        <v>206</v>
      </c>
      <c r="E13" s="4">
        <v>2390</v>
      </c>
      <c r="F13" s="8" t="s">
        <v>17</v>
      </c>
      <c r="G13" s="5">
        <f t="shared" ref="G13:G21" si="1">(H13*E13)/12</f>
        <v>60745.833333333336</v>
      </c>
      <c r="H13" s="5">
        <v>305</v>
      </c>
      <c r="I13" s="7" t="s">
        <v>163</v>
      </c>
    </row>
    <row r="14" spans="2:9">
      <c r="B14" s="1" t="s">
        <v>205</v>
      </c>
      <c r="C14" s="8" t="s">
        <v>178</v>
      </c>
      <c r="D14" s="8" t="s">
        <v>16</v>
      </c>
      <c r="E14" s="4">
        <v>4818</v>
      </c>
      <c r="F14" s="8" t="s">
        <v>17</v>
      </c>
      <c r="G14" s="5">
        <f t="shared" si="1"/>
        <v>120450</v>
      </c>
      <c r="H14" s="5">
        <v>300</v>
      </c>
      <c r="I14" s="7" t="s">
        <v>163</v>
      </c>
    </row>
    <row r="15" spans="2:9">
      <c r="B15" s="1" t="s">
        <v>205</v>
      </c>
      <c r="C15" s="8" t="s">
        <v>8</v>
      </c>
      <c r="D15" s="8" t="s">
        <v>206</v>
      </c>
      <c r="E15" s="4">
        <v>6174</v>
      </c>
      <c r="F15" s="8" t="s">
        <v>17</v>
      </c>
      <c r="G15" s="5">
        <f t="shared" si="1"/>
        <v>138915</v>
      </c>
      <c r="H15" s="5">
        <v>270</v>
      </c>
      <c r="I15" s="7" t="s">
        <v>163</v>
      </c>
    </row>
    <row r="16" spans="2:9">
      <c r="B16" s="1" t="s">
        <v>205</v>
      </c>
      <c r="C16" s="8" t="s">
        <v>35</v>
      </c>
      <c r="D16" s="8" t="s">
        <v>206</v>
      </c>
      <c r="E16" s="4">
        <v>6547</v>
      </c>
      <c r="F16" s="8" t="s">
        <v>17</v>
      </c>
      <c r="G16" s="5">
        <f t="shared" si="1"/>
        <v>147307.5</v>
      </c>
      <c r="H16" s="5">
        <v>270</v>
      </c>
      <c r="I16" s="7" t="s">
        <v>163</v>
      </c>
    </row>
    <row r="17" spans="2:9">
      <c r="B17" s="1" t="s">
        <v>205</v>
      </c>
      <c r="C17" s="8" t="s">
        <v>19</v>
      </c>
      <c r="D17" s="8" t="s">
        <v>206</v>
      </c>
      <c r="E17" s="4">
        <v>6447</v>
      </c>
      <c r="F17" s="8" t="s">
        <v>17</v>
      </c>
      <c r="G17" s="5">
        <f t="shared" si="1"/>
        <v>142371.25</v>
      </c>
      <c r="H17" s="5">
        <v>265</v>
      </c>
      <c r="I17" s="7" t="s">
        <v>163</v>
      </c>
    </row>
    <row r="18" spans="2:9">
      <c r="B18" s="1" t="s">
        <v>205</v>
      </c>
      <c r="C18" s="8" t="s">
        <v>23</v>
      </c>
      <c r="D18" s="8" t="s">
        <v>206</v>
      </c>
      <c r="E18" s="4">
        <v>6542</v>
      </c>
      <c r="F18" s="8" t="s">
        <v>17</v>
      </c>
      <c r="G18" s="5">
        <f t="shared" si="1"/>
        <v>144469.16666666666</v>
      </c>
      <c r="H18" s="5">
        <v>265</v>
      </c>
      <c r="I18" s="7" t="s">
        <v>163</v>
      </c>
    </row>
    <row r="19" spans="2:9">
      <c r="B19" s="1" t="s">
        <v>205</v>
      </c>
      <c r="C19" s="8" t="s">
        <v>20</v>
      </c>
      <c r="D19" s="8" t="s">
        <v>206</v>
      </c>
      <c r="E19" s="4">
        <v>6538</v>
      </c>
      <c r="F19" s="8" t="s">
        <v>17</v>
      </c>
      <c r="G19" s="5">
        <f t="shared" si="1"/>
        <v>144380.83333333334</v>
      </c>
      <c r="H19" s="5">
        <v>265</v>
      </c>
      <c r="I19" s="7" t="s">
        <v>163</v>
      </c>
    </row>
    <row r="20" spans="2:9">
      <c r="B20" s="1" t="s">
        <v>205</v>
      </c>
      <c r="C20" s="8" t="s">
        <v>13</v>
      </c>
      <c r="D20" s="8" t="s">
        <v>206</v>
      </c>
      <c r="E20" s="4">
        <v>6523</v>
      </c>
      <c r="F20" s="8" t="s">
        <v>17</v>
      </c>
      <c r="G20" s="5">
        <f t="shared" si="1"/>
        <v>144049.58333333334</v>
      </c>
      <c r="H20" s="5">
        <v>265</v>
      </c>
      <c r="I20" s="7" t="s">
        <v>163</v>
      </c>
    </row>
    <row r="21" spans="2:9">
      <c r="B21" s="1" t="s">
        <v>205</v>
      </c>
      <c r="C21" s="8" t="s">
        <v>176</v>
      </c>
      <c r="D21" s="8" t="s">
        <v>206</v>
      </c>
      <c r="E21" s="4">
        <v>1896</v>
      </c>
      <c r="F21" s="8" t="s">
        <v>14</v>
      </c>
      <c r="G21" s="5">
        <f t="shared" si="1"/>
        <v>37130</v>
      </c>
      <c r="H21" s="5">
        <v>235</v>
      </c>
      <c r="I21" s="7" t="s">
        <v>163</v>
      </c>
    </row>
    <row r="22" spans="2:9">
      <c r="B22" s="1" t="s">
        <v>205</v>
      </c>
      <c r="C22" s="8" t="s">
        <v>177</v>
      </c>
      <c r="D22" s="8" t="s">
        <v>16</v>
      </c>
      <c r="E22" s="4">
        <v>4059</v>
      </c>
      <c r="F22" s="8" t="s">
        <v>14</v>
      </c>
      <c r="G22" s="5">
        <f>(H22*E22)/12</f>
        <v>76106.25</v>
      </c>
      <c r="H22" s="5">
        <v>225</v>
      </c>
      <c r="I22" s="7" t="s">
        <v>163</v>
      </c>
    </row>
    <row r="23" spans="2:9">
      <c r="B23" s="1" t="s">
        <v>53</v>
      </c>
      <c r="C23" s="8" t="s">
        <v>23</v>
      </c>
      <c r="D23" s="8" t="s">
        <v>9</v>
      </c>
      <c r="E23" s="4">
        <v>11381</v>
      </c>
      <c r="F23" s="8" t="s">
        <v>14</v>
      </c>
      <c r="G23" s="5">
        <f>(H23*E23)/12</f>
        <v>142262.5</v>
      </c>
      <c r="H23" s="5">
        <v>150</v>
      </c>
      <c r="I23" s="7" t="s">
        <v>163</v>
      </c>
    </row>
  </sheetData>
  <phoneticPr fontId="4" type="noConversion"/>
  <hyperlinks>
    <hyperlink ref="I3" r:id="rId1" xr:uid="{8DE6A114-EBDC-DB44-8CE0-343031A750D1}"/>
    <hyperlink ref="I10" r:id="rId2" xr:uid="{29D10217-CB58-C346-9BB3-E9494DBA7F69}"/>
    <hyperlink ref="I5" r:id="rId3" xr:uid="{3A937658-D7BF-6F47-A74E-99D009802E94}"/>
    <hyperlink ref="I9" r:id="rId4" xr:uid="{84A1B94D-576B-984A-B38D-0B8447BD6085}"/>
    <hyperlink ref="I6" r:id="rId5" xr:uid="{270F81DC-4B20-C249-9A92-D2A3234894A8}"/>
    <hyperlink ref="I13" r:id="rId6" xr:uid="{CCF70EA0-8999-6446-8282-5824DE22DD74}"/>
    <hyperlink ref="I14" r:id="rId7" xr:uid="{FB381303-5884-8A4C-9D6B-F333C6554195}"/>
    <hyperlink ref="I15" r:id="rId8" xr:uid="{F33E3122-F21F-7149-9B34-5984FA371758}"/>
    <hyperlink ref="I16" r:id="rId9" xr:uid="{3ECA12D9-0734-6B41-B511-3590BB0337BA}"/>
    <hyperlink ref="I17" r:id="rId10" xr:uid="{656BFD73-4144-5841-9872-27304E9A143E}"/>
    <hyperlink ref="I18" r:id="rId11" xr:uid="{77033A18-D9E9-D349-94CA-782B4F919D7D}"/>
    <hyperlink ref="I19" r:id="rId12" xr:uid="{7EF1A4B7-5122-2742-A730-8DC72F55F9FF}"/>
    <hyperlink ref="I20" r:id="rId13" xr:uid="{1D10C312-7A5A-B149-B9E3-97DC3C6E2F53}"/>
    <hyperlink ref="I21" r:id="rId14" xr:uid="{C1CB72CA-4C9A-824A-A5A8-D7C740F70CCA}"/>
    <hyperlink ref="I22" r:id="rId15" xr:uid="{A01136F5-3DF1-6E4D-B5C4-F8B212556A2B}"/>
    <hyperlink ref="I4" r:id="rId16" xr:uid="{30373C7F-9F1A-8949-B8FC-0DA444350308}"/>
    <hyperlink ref="I12" r:id="rId17" xr:uid="{F5CEC429-D508-2C41-9664-4A73559F007B}"/>
    <hyperlink ref="I23" r:id="rId18" xr:uid="{6A1AFECD-A97E-E845-9D57-81AC90F8DD98}"/>
    <hyperlink ref="I11" r:id="rId19" xr:uid="{98208BEF-855D-4848-9184-74933448C815}"/>
    <hyperlink ref="I8" r:id="rId20" xr:uid="{31E5F0AD-7CCC-214F-BB26-D9C3FC6C8809}"/>
    <hyperlink ref="I7" r:id="rId21" xr:uid="{5DF196C5-08FB-D14C-B3A5-B142EADEFE00}"/>
    <hyperlink ref="I2" r:id="rId22" xr:uid="{B575F812-A747-7847-B3F1-FBCC468EA63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62B2-7AB7-472F-AB9A-58778F96EF6C}">
  <dimension ref="B1:I12"/>
  <sheetViews>
    <sheetView zoomScale="124" zoomScaleNormal="124" workbookViewId="0">
      <selection activeCell="B12" sqref="B12:I12"/>
    </sheetView>
  </sheetViews>
  <sheetFormatPr defaultColWidth="8.77734375" defaultRowHeight="14.4"/>
  <cols>
    <col min="2" max="2" width="40.6640625" customWidth="1"/>
    <col min="3" max="3" width="16.6640625" customWidth="1"/>
    <col min="4" max="4" width="15.6640625" customWidth="1"/>
    <col min="5" max="5" width="11.77734375" customWidth="1"/>
    <col min="6" max="6" width="14.6640625" customWidth="1"/>
    <col min="7" max="8" width="16.44140625" customWidth="1"/>
    <col min="9" max="9" width="16.77734375" bestFit="1" customWidth="1"/>
  </cols>
  <sheetData>
    <row r="1" spans="2:9" ht="17.399999999999999">
      <c r="B1" s="14" t="s">
        <v>132</v>
      </c>
      <c r="C1" s="15" t="s">
        <v>1</v>
      </c>
      <c r="D1" s="15" t="s">
        <v>133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>
      <c r="B2" s="1" t="s">
        <v>134</v>
      </c>
      <c r="C2" s="8" t="s">
        <v>13</v>
      </c>
      <c r="D2" s="8" t="s">
        <v>9</v>
      </c>
      <c r="E2" s="4">
        <v>4488</v>
      </c>
      <c r="F2" s="8" t="s">
        <v>14</v>
      </c>
      <c r="G2" s="5">
        <f t="shared" ref="G2:G12" si="0">(H2*E2)/12</f>
        <v>50490</v>
      </c>
      <c r="H2" s="5">
        <v>135</v>
      </c>
      <c r="I2" s="7" t="s">
        <v>38</v>
      </c>
    </row>
    <row r="3" spans="2:9">
      <c r="B3" s="1" t="s">
        <v>229</v>
      </c>
      <c r="C3" s="8" t="s">
        <v>13</v>
      </c>
      <c r="D3" s="8" t="s">
        <v>9</v>
      </c>
      <c r="E3" s="4">
        <v>5677</v>
      </c>
      <c r="F3" s="8" t="s">
        <v>14</v>
      </c>
      <c r="G3" s="5">
        <f t="shared" si="0"/>
        <v>75693.333333333328</v>
      </c>
      <c r="H3" s="5">
        <v>160</v>
      </c>
      <c r="I3" s="7" t="s">
        <v>44</v>
      </c>
    </row>
    <row r="4" spans="2:9">
      <c r="B4" s="1" t="s">
        <v>181</v>
      </c>
      <c r="C4" s="8" t="s">
        <v>23</v>
      </c>
      <c r="D4" s="8" t="s">
        <v>9</v>
      </c>
      <c r="E4" s="4">
        <v>6412</v>
      </c>
      <c r="F4" s="8" t="s">
        <v>14</v>
      </c>
      <c r="G4" s="5">
        <f t="shared" si="0"/>
        <v>77478.333333333328</v>
      </c>
      <c r="H4" s="5">
        <v>145</v>
      </c>
      <c r="I4" s="7" t="s">
        <v>44</v>
      </c>
    </row>
    <row r="5" spans="2:9">
      <c r="B5" s="1" t="s">
        <v>235</v>
      </c>
      <c r="C5" s="8" t="s">
        <v>23</v>
      </c>
      <c r="D5" s="8" t="s">
        <v>16</v>
      </c>
      <c r="E5" s="4">
        <v>17416</v>
      </c>
      <c r="F5" s="8" t="s">
        <v>14</v>
      </c>
      <c r="G5" s="5">
        <f t="shared" si="0"/>
        <v>210443.33333333334</v>
      </c>
      <c r="H5" s="5">
        <v>145</v>
      </c>
      <c r="I5" s="7" t="s">
        <v>44</v>
      </c>
    </row>
    <row r="6" spans="2:9">
      <c r="B6" s="1" t="s">
        <v>136</v>
      </c>
      <c r="C6" s="8" t="s">
        <v>8</v>
      </c>
      <c r="D6" s="8" t="s">
        <v>16</v>
      </c>
      <c r="E6" s="4">
        <v>11789</v>
      </c>
      <c r="F6" s="8" t="s">
        <v>14</v>
      </c>
      <c r="G6" s="5">
        <f t="shared" si="0"/>
        <v>137538.33333333334</v>
      </c>
      <c r="H6" s="16">
        <v>140</v>
      </c>
      <c r="I6" s="13" t="s">
        <v>11</v>
      </c>
    </row>
    <row r="7" spans="2:9">
      <c r="B7" s="1" t="s">
        <v>136</v>
      </c>
      <c r="C7" s="8" t="s">
        <v>35</v>
      </c>
      <c r="D7" s="8" t="s">
        <v>16</v>
      </c>
      <c r="E7" s="4">
        <v>11842</v>
      </c>
      <c r="F7" s="8" t="s">
        <v>14</v>
      </c>
      <c r="G7" s="5">
        <f t="shared" si="0"/>
        <v>138156.66666666666</v>
      </c>
      <c r="H7" s="16">
        <v>140</v>
      </c>
      <c r="I7" s="13" t="s">
        <v>11</v>
      </c>
    </row>
    <row r="8" spans="2:9">
      <c r="B8" s="1" t="s">
        <v>137</v>
      </c>
      <c r="C8" s="8" t="s">
        <v>19</v>
      </c>
      <c r="D8" s="8" t="s">
        <v>9</v>
      </c>
      <c r="E8" s="4">
        <v>11831</v>
      </c>
      <c r="F8" s="8" t="s">
        <v>14</v>
      </c>
      <c r="G8" s="5">
        <f t="shared" si="0"/>
        <v>133098.75</v>
      </c>
      <c r="H8" s="16">
        <v>135</v>
      </c>
      <c r="I8" s="13" t="s">
        <v>11</v>
      </c>
    </row>
    <row r="9" spans="2:9">
      <c r="B9" s="1" t="s">
        <v>136</v>
      </c>
      <c r="C9" s="8" t="s">
        <v>23</v>
      </c>
      <c r="D9" s="8" t="s">
        <v>16</v>
      </c>
      <c r="E9" s="4">
        <v>11785</v>
      </c>
      <c r="F9" s="8" t="s">
        <v>14</v>
      </c>
      <c r="G9" s="5">
        <f t="shared" si="0"/>
        <v>137491.66666666666</v>
      </c>
      <c r="H9" s="16">
        <v>140</v>
      </c>
      <c r="I9" s="13" t="s">
        <v>11</v>
      </c>
    </row>
    <row r="10" spans="2:9">
      <c r="B10" s="1" t="s">
        <v>145</v>
      </c>
      <c r="C10" s="8" t="s">
        <v>19</v>
      </c>
      <c r="D10" s="8" t="s">
        <v>9</v>
      </c>
      <c r="E10" s="4">
        <v>15575</v>
      </c>
      <c r="F10" s="8" t="s">
        <v>14</v>
      </c>
      <c r="G10" s="5">
        <f t="shared" si="0"/>
        <v>181708.33333333334</v>
      </c>
      <c r="H10" s="16">
        <v>140</v>
      </c>
      <c r="I10" s="13" t="s">
        <v>44</v>
      </c>
    </row>
    <row r="11" spans="2:9">
      <c r="B11" s="1" t="s">
        <v>135</v>
      </c>
      <c r="C11" s="8" t="s">
        <v>168</v>
      </c>
      <c r="D11" s="8" t="s">
        <v>9</v>
      </c>
      <c r="E11" s="4">
        <v>28671</v>
      </c>
      <c r="F11" s="8" t="s">
        <v>169</v>
      </c>
      <c r="G11" s="5">
        <f t="shared" si="0"/>
        <v>358387.5</v>
      </c>
      <c r="H11" s="16">
        <v>150</v>
      </c>
      <c r="I11" s="13" t="s">
        <v>44</v>
      </c>
    </row>
    <row r="12" spans="2:9">
      <c r="B12" s="21" t="s">
        <v>223</v>
      </c>
      <c r="C12" s="22" t="s">
        <v>35</v>
      </c>
      <c r="D12" s="22" t="s">
        <v>9</v>
      </c>
      <c r="E12" s="23">
        <v>8451</v>
      </c>
      <c r="F12" s="22" t="s">
        <v>14</v>
      </c>
      <c r="G12" s="24">
        <f t="shared" si="0"/>
        <v>119722.5</v>
      </c>
      <c r="H12" s="24">
        <v>170</v>
      </c>
      <c r="I12" s="25" t="s">
        <v>11</v>
      </c>
    </row>
  </sheetData>
  <phoneticPr fontId="4" type="noConversion"/>
  <hyperlinks>
    <hyperlink ref="I6" r:id="rId1" xr:uid="{662BE344-1A72-4E48-848C-6C9477319B65}"/>
    <hyperlink ref="I7" r:id="rId2" xr:uid="{36F245A9-311A-A64F-AD3F-2E9929A0373E}"/>
    <hyperlink ref="I8" r:id="rId3" xr:uid="{32475EDD-F851-D343-99DD-893C8E9E50E0}"/>
    <hyperlink ref="I9" r:id="rId4" xr:uid="{16CBC6EF-53C5-A240-A115-8180795C59E5}"/>
    <hyperlink ref="I2" r:id="rId5" xr:uid="{EE3FCA1F-941F-724E-87D9-7C0CC66C0FA2}"/>
    <hyperlink ref="I10" r:id="rId6" xr:uid="{6A831FC6-E92B-3D4A-973E-916FCB94F7FB}"/>
    <hyperlink ref="I4" r:id="rId7" xr:uid="{6FD3BC63-77F7-3742-959E-31B2249B9741}"/>
    <hyperlink ref="I5" r:id="rId8" xr:uid="{85DF8E4B-D30A-6D46-85DC-DFA71E21575A}"/>
    <hyperlink ref="I12" r:id="rId9" xr:uid="{D29F98EE-D9CF-4E41-8356-3A9E558A20A2}"/>
    <hyperlink ref="I3" r:id="rId10" xr:uid="{CD56DC87-3EEF-3B45-B81F-A602DA8727E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12CB-31AB-498B-B9B3-02455C9084FA}">
  <dimension ref="B1:I18"/>
  <sheetViews>
    <sheetView zoomScale="124" zoomScaleNormal="124" workbookViewId="0">
      <selection activeCell="H35" sqref="H35"/>
    </sheetView>
  </sheetViews>
  <sheetFormatPr defaultColWidth="8.77734375" defaultRowHeight="14.4"/>
  <cols>
    <col min="2" max="2" width="38.33203125" customWidth="1"/>
    <col min="3" max="3" width="24.33203125" bestFit="1" customWidth="1"/>
    <col min="4" max="4" width="12.44140625" customWidth="1"/>
    <col min="5" max="6" width="13.44140625" customWidth="1"/>
    <col min="7" max="7" width="16.109375" customWidth="1"/>
    <col min="8" max="8" width="16" customWidth="1"/>
    <col min="9" max="9" width="16.77734375" bestFit="1" customWidth="1"/>
  </cols>
  <sheetData>
    <row r="1" spans="2:9" ht="17.399999999999999">
      <c r="B1" s="14" t="s">
        <v>138</v>
      </c>
      <c r="C1" s="15" t="s">
        <v>1</v>
      </c>
      <c r="D1" s="15" t="s">
        <v>133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>
      <c r="B2" s="1" t="s">
        <v>179</v>
      </c>
      <c r="C2" s="8" t="s">
        <v>180</v>
      </c>
      <c r="D2" s="8" t="s">
        <v>9</v>
      </c>
      <c r="E2" s="4">
        <v>3633</v>
      </c>
      <c r="F2" s="8" t="s">
        <v>14</v>
      </c>
      <c r="G2" s="5">
        <f t="shared" ref="G2:G18" si="0">(H2*E2)/12</f>
        <v>44655.625</v>
      </c>
      <c r="H2" s="19">
        <v>147.5</v>
      </c>
      <c r="I2" s="13" t="s">
        <v>163</v>
      </c>
    </row>
    <row r="3" spans="2:9">
      <c r="B3" s="1" t="s">
        <v>139</v>
      </c>
      <c r="C3" s="8" t="s">
        <v>19</v>
      </c>
      <c r="D3" s="8" t="s">
        <v>9</v>
      </c>
      <c r="E3" s="4">
        <v>4493</v>
      </c>
      <c r="F3" s="8" t="s">
        <v>14</v>
      </c>
      <c r="G3" s="5">
        <f t="shared" si="0"/>
        <v>47738.125</v>
      </c>
      <c r="H3" s="19">
        <v>127.5</v>
      </c>
      <c r="I3" s="13" t="s">
        <v>37</v>
      </c>
    </row>
    <row r="4" spans="2:9">
      <c r="B4" s="1" t="s">
        <v>139</v>
      </c>
      <c r="C4" s="8" t="s">
        <v>23</v>
      </c>
      <c r="D4" s="8" t="s">
        <v>9</v>
      </c>
      <c r="E4" s="4">
        <v>4550</v>
      </c>
      <c r="F4" s="8" t="s">
        <v>14</v>
      </c>
      <c r="G4" s="5">
        <f t="shared" si="0"/>
        <v>48343.75</v>
      </c>
      <c r="H4" s="19">
        <v>127.5</v>
      </c>
      <c r="I4" s="13" t="s">
        <v>37</v>
      </c>
    </row>
    <row r="5" spans="2:9">
      <c r="B5" s="1" t="s">
        <v>139</v>
      </c>
      <c r="C5" s="8" t="s">
        <v>13</v>
      </c>
      <c r="D5" s="8" t="s">
        <v>9</v>
      </c>
      <c r="E5" s="4">
        <v>4546</v>
      </c>
      <c r="F5" s="8" t="s">
        <v>14</v>
      </c>
      <c r="G5" s="5">
        <f t="shared" si="0"/>
        <v>48301.25</v>
      </c>
      <c r="H5" s="19">
        <v>127.5</v>
      </c>
      <c r="I5" s="13" t="s">
        <v>37</v>
      </c>
    </row>
    <row r="6" spans="2:9">
      <c r="B6" s="1" t="s">
        <v>166</v>
      </c>
      <c r="C6" s="8" t="s">
        <v>167</v>
      </c>
      <c r="D6" s="8" t="s">
        <v>16</v>
      </c>
      <c r="E6" s="4">
        <v>8502</v>
      </c>
      <c r="F6" s="8" t="s">
        <v>14</v>
      </c>
      <c r="G6" s="5">
        <f t="shared" si="0"/>
        <v>106275</v>
      </c>
      <c r="H6" s="5">
        <v>150</v>
      </c>
      <c r="I6" s="13" t="s">
        <v>163</v>
      </c>
    </row>
    <row r="7" spans="2:9">
      <c r="B7" s="1" t="s">
        <v>49</v>
      </c>
      <c r="C7" s="8" t="s">
        <v>19</v>
      </c>
      <c r="D7" s="8" t="s">
        <v>16</v>
      </c>
      <c r="E7" s="4">
        <v>10752</v>
      </c>
      <c r="F7" s="8" t="s">
        <v>17</v>
      </c>
      <c r="G7" s="5">
        <f t="shared" si="0"/>
        <v>170240</v>
      </c>
      <c r="H7" s="5">
        <v>190</v>
      </c>
      <c r="I7" s="13" t="s">
        <v>11</v>
      </c>
    </row>
    <row r="8" spans="2:9">
      <c r="B8" s="1" t="s">
        <v>49</v>
      </c>
      <c r="C8" s="8" t="s">
        <v>24</v>
      </c>
      <c r="D8" s="8" t="s">
        <v>16</v>
      </c>
      <c r="E8" s="4">
        <v>3798</v>
      </c>
      <c r="F8" s="8" t="s">
        <v>17</v>
      </c>
      <c r="G8" s="5">
        <f t="shared" si="0"/>
        <v>58552.5</v>
      </c>
      <c r="H8" s="5">
        <v>185</v>
      </c>
      <c r="I8" s="13" t="s">
        <v>11</v>
      </c>
    </row>
    <row r="9" spans="2:9">
      <c r="B9" s="1" t="s">
        <v>50</v>
      </c>
      <c r="C9" s="8" t="s">
        <v>140</v>
      </c>
      <c r="D9" s="8" t="s">
        <v>16</v>
      </c>
      <c r="E9" s="4">
        <v>6604</v>
      </c>
      <c r="F9" s="8" t="s">
        <v>17</v>
      </c>
      <c r="G9" s="5">
        <f t="shared" si="0"/>
        <v>90805</v>
      </c>
      <c r="H9" s="5">
        <v>165</v>
      </c>
      <c r="I9" s="13" t="s">
        <v>11</v>
      </c>
    </row>
    <row r="10" spans="2:9">
      <c r="B10" s="1" t="s">
        <v>50</v>
      </c>
      <c r="C10" s="8" t="s">
        <v>23</v>
      </c>
      <c r="D10" s="8" t="s">
        <v>16</v>
      </c>
      <c r="E10" s="4">
        <v>5597</v>
      </c>
      <c r="F10" s="8" t="s">
        <v>17</v>
      </c>
      <c r="G10" s="5">
        <f t="shared" si="0"/>
        <v>76958.75</v>
      </c>
      <c r="H10" s="5">
        <v>165</v>
      </c>
      <c r="I10" s="13" t="s">
        <v>11</v>
      </c>
    </row>
    <row r="11" spans="2:9">
      <c r="B11" s="1" t="s">
        <v>50</v>
      </c>
      <c r="C11" s="8" t="s">
        <v>20</v>
      </c>
      <c r="D11" s="8" t="s">
        <v>16</v>
      </c>
      <c r="E11" s="4">
        <v>5576</v>
      </c>
      <c r="F11" s="8" t="s">
        <v>17</v>
      </c>
      <c r="G11" s="5">
        <f t="shared" si="0"/>
        <v>76670</v>
      </c>
      <c r="H11" s="5">
        <v>165</v>
      </c>
      <c r="I11" s="13" t="s">
        <v>11</v>
      </c>
    </row>
    <row r="12" spans="2:9">
      <c r="B12" s="1" t="s">
        <v>141</v>
      </c>
      <c r="C12" s="8" t="s">
        <v>19</v>
      </c>
      <c r="D12" s="8" t="s">
        <v>16</v>
      </c>
      <c r="E12" s="4">
        <v>1808</v>
      </c>
      <c r="F12" s="8" t="s">
        <v>14</v>
      </c>
      <c r="G12" s="5">
        <f t="shared" si="0"/>
        <v>27346</v>
      </c>
      <c r="H12" s="5">
        <v>181.5</v>
      </c>
      <c r="I12" s="13" t="s">
        <v>11</v>
      </c>
    </row>
    <row r="13" spans="2:9">
      <c r="B13" s="1" t="s">
        <v>141</v>
      </c>
      <c r="C13" s="8" t="s">
        <v>20</v>
      </c>
      <c r="D13" s="8" t="s">
        <v>9</v>
      </c>
      <c r="E13" s="4">
        <v>1862</v>
      </c>
      <c r="F13" s="8" t="s">
        <v>14</v>
      </c>
      <c r="G13" s="5">
        <f t="shared" si="0"/>
        <v>27464.5</v>
      </c>
      <c r="H13" s="5">
        <v>177</v>
      </c>
      <c r="I13" s="13" t="s">
        <v>11</v>
      </c>
    </row>
    <row r="14" spans="2:9">
      <c r="B14" s="1" t="s">
        <v>141</v>
      </c>
      <c r="C14" s="8" t="s">
        <v>13</v>
      </c>
      <c r="D14" s="8" t="s">
        <v>9</v>
      </c>
      <c r="E14" s="4">
        <v>1808</v>
      </c>
      <c r="F14" s="8" t="s">
        <v>14</v>
      </c>
      <c r="G14" s="5">
        <f t="shared" si="0"/>
        <v>26366.666666666668</v>
      </c>
      <c r="H14" s="5">
        <v>175</v>
      </c>
      <c r="I14" s="13" t="s">
        <v>11</v>
      </c>
    </row>
    <row r="15" spans="2:9">
      <c r="B15" s="1" t="s">
        <v>142</v>
      </c>
      <c r="C15" s="8" t="s">
        <v>23</v>
      </c>
      <c r="D15" s="8" t="s">
        <v>16</v>
      </c>
      <c r="E15" s="4">
        <v>1694</v>
      </c>
      <c r="F15" s="8" t="s">
        <v>14</v>
      </c>
      <c r="G15" s="5">
        <f t="shared" si="0"/>
        <v>25410</v>
      </c>
      <c r="H15" s="5">
        <v>180</v>
      </c>
      <c r="I15" s="13" t="s">
        <v>11</v>
      </c>
    </row>
    <row r="16" spans="2:9">
      <c r="B16" s="1" t="s">
        <v>142</v>
      </c>
      <c r="C16" s="8" t="s">
        <v>20</v>
      </c>
      <c r="D16" s="8" t="s">
        <v>16</v>
      </c>
      <c r="E16" s="4">
        <v>1745</v>
      </c>
      <c r="F16" s="8" t="s">
        <v>14</v>
      </c>
      <c r="G16" s="5">
        <f t="shared" si="0"/>
        <v>26175</v>
      </c>
      <c r="H16" s="5">
        <v>180</v>
      </c>
      <c r="I16" s="13" t="s">
        <v>11</v>
      </c>
    </row>
    <row r="17" spans="2:9">
      <c r="B17" s="1" t="s">
        <v>142</v>
      </c>
      <c r="C17" s="8" t="s">
        <v>13</v>
      </c>
      <c r="D17" s="8" t="s">
        <v>16</v>
      </c>
      <c r="E17" s="4">
        <v>1705</v>
      </c>
      <c r="F17" s="8" t="s">
        <v>14</v>
      </c>
      <c r="G17" s="5">
        <f t="shared" si="0"/>
        <v>25575</v>
      </c>
      <c r="H17" s="5">
        <v>180</v>
      </c>
      <c r="I17" s="13" t="s">
        <v>11</v>
      </c>
    </row>
    <row r="18" spans="2:9">
      <c r="B18" s="1" t="s">
        <v>142</v>
      </c>
      <c r="C18" s="8" t="s">
        <v>24</v>
      </c>
      <c r="D18" s="8" t="s">
        <v>16</v>
      </c>
      <c r="E18" s="4">
        <v>1084</v>
      </c>
      <c r="F18" s="8" t="s">
        <v>14</v>
      </c>
      <c r="G18" s="5">
        <f t="shared" si="0"/>
        <v>16260</v>
      </c>
      <c r="H18" s="5">
        <v>180</v>
      </c>
      <c r="I18" s="13" t="s">
        <v>11</v>
      </c>
    </row>
  </sheetData>
  <phoneticPr fontId="4" type="noConversion"/>
  <hyperlinks>
    <hyperlink ref="I9:I14" r:id="rId1" display="CLICK HERE" xr:uid="{9EA83005-0A57-9542-B34F-7AE8DEF2F9B1}"/>
    <hyperlink ref="I7:I8" r:id="rId2" display="CLICK HERE" xr:uid="{677DF82D-ABEC-1A4E-B70F-596037C6BBCD}"/>
    <hyperlink ref="I15:I18" r:id="rId3" display="CLICK HERE" xr:uid="{920A9F38-769A-F14E-91EF-7FBD1D7D56E0}"/>
    <hyperlink ref="I6" r:id="rId4" xr:uid="{70A984FA-1860-C044-8BB7-F125D364E133}"/>
    <hyperlink ref="I2" r:id="rId5" xr:uid="{19493F1F-8303-B147-8B01-53F6FC14133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8504-C0E0-4407-964B-BB4AD1F57393}">
  <dimension ref="B1:I1"/>
  <sheetViews>
    <sheetView zoomScale="127" zoomScaleNormal="127" workbookViewId="0">
      <selection sqref="A1:A1048576"/>
    </sheetView>
  </sheetViews>
  <sheetFormatPr defaultColWidth="8.77734375" defaultRowHeight="14.4"/>
  <cols>
    <col min="2" max="2" width="34.44140625" customWidth="1"/>
    <col min="3" max="3" width="16.77734375" customWidth="1"/>
    <col min="4" max="4" width="17.44140625" customWidth="1"/>
    <col min="5" max="5" width="17.6640625" customWidth="1"/>
    <col min="6" max="6" width="15.6640625" customWidth="1"/>
    <col min="7" max="7" width="18.44140625" customWidth="1"/>
    <col min="8" max="8" width="19.109375" customWidth="1"/>
    <col min="9" max="9" width="12" customWidth="1"/>
  </cols>
  <sheetData>
    <row r="1" spans="2:9" ht="17.399999999999999">
      <c r="B1" s="14" t="s">
        <v>143</v>
      </c>
      <c r="C1" s="15" t="s">
        <v>1</v>
      </c>
      <c r="D1" s="15" t="s">
        <v>133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2BDD-8B32-044D-830C-B5038E2E2E21}">
  <dimension ref="B1:I1"/>
  <sheetViews>
    <sheetView zoomScale="124" zoomScaleNormal="124" workbookViewId="0">
      <selection activeCell="Q44" sqref="Q44"/>
    </sheetView>
  </sheetViews>
  <sheetFormatPr defaultColWidth="11.44140625" defaultRowHeight="14.4"/>
  <cols>
    <col min="2" max="2" width="29" bestFit="1" customWidth="1"/>
    <col min="3" max="3" width="15.109375" customWidth="1"/>
    <col min="4" max="4" width="15.6640625" customWidth="1"/>
    <col min="5" max="5" width="17.44140625" customWidth="1"/>
    <col min="6" max="6" width="15.44140625" customWidth="1"/>
    <col min="7" max="7" width="18.44140625" customWidth="1"/>
    <col min="8" max="8" width="15.77734375" customWidth="1"/>
    <col min="9" max="9" width="18" customWidth="1"/>
  </cols>
  <sheetData>
    <row r="1" spans="2:9" ht="17.399999999999999">
      <c r="B1" s="14" t="s">
        <v>144</v>
      </c>
      <c r="C1" s="15" t="s">
        <v>1</v>
      </c>
      <c r="D1" s="15" t="s">
        <v>28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City</vt:lpstr>
      <vt:lpstr>Aldgate &amp; Whitechapel</vt:lpstr>
      <vt:lpstr>Old Street &amp; Shoreditch </vt:lpstr>
      <vt:lpstr>Clerkenwell &amp; Farringdon</vt:lpstr>
      <vt:lpstr>Midtown</vt:lpstr>
      <vt:lpstr>Fitzrovia &amp; Marylebone</vt:lpstr>
      <vt:lpstr>Soho &amp; Covent Garden</vt:lpstr>
      <vt:lpstr>Mayfair   St James</vt:lpstr>
      <vt:lpstr>London Bridge   South Bank</vt:lpstr>
      <vt:lpstr>Kings Cross &amp; Angel</vt:lpstr>
      <vt:lpstr>Victoria &amp; Knightsbridge</vt:lpstr>
      <vt:lpstr>Canary Wharf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Townsend</dc:creator>
  <cp:keywords/>
  <dc:description/>
  <cp:lastModifiedBy>Julie Bui</cp:lastModifiedBy>
  <cp:revision/>
  <dcterms:created xsi:type="dcterms:W3CDTF">2023-01-16T14:59:26Z</dcterms:created>
  <dcterms:modified xsi:type="dcterms:W3CDTF">2026-07-14T11:29:59Z</dcterms:modified>
  <cp:category/>
  <cp:contentStatus/>
</cp:coreProperties>
</file>